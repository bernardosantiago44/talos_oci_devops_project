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sepablo13/Documents/José Pablo/TEC/Sexto_Semestre/talos_oci_devops_project/"/>
    </mc:Choice>
  </mc:AlternateContent>
  <xr:revisionPtr revIDLastSave="0" documentId="13_ncr:1_{C3EA130C-35C3-874B-8036-8E74384E1FB8}" xr6:coauthVersionLast="47" xr6:coauthVersionMax="47" xr10:uidLastSave="{00000000-0000-0000-0000-000000000000}"/>
  <bookViews>
    <workbookView xWindow="0" yWindow="500" windowWidth="28800" windowHeight="16140" tabRatio="500" xr2:uid="{00000000-000D-0000-FFFF-FFFF00000000}"/>
  </bookViews>
  <sheets>
    <sheet name="Iteración X" sheetId="1" r:id="rId1"/>
    <sheet name="Deploy" sheetId="2" state="hidden" r:id="rId2"/>
    <sheet name="Totales" sheetId="3" r:id="rId3"/>
  </sheets>
  <definedNames>
    <definedName name="_xlnm._FilterDatabase" localSheetId="1" hidden="1">Deploy!$A$11:$J$24</definedName>
    <definedName name="_xlnm._FilterDatabase" localSheetId="0" hidden="1">'Iteración X'!$A$12:$J$112</definedName>
    <definedName name="_xlfn_SINGLE">none</definedName>
    <definedName name="TC_ResultList">#REF!</definedName>
    <definedName name="Z_01259147_914D_4061_9489_3657882F9BAB__wvu_FilterData" localSheetId="1">Deploy!$A$11:$J$11</definedName>
    <definedName name="Z_01259147_914D_4061_9489_3657882F9BAB__wvu_FilterData" localSheetId="0">'Iteración X'!$A$12:$J$12</definedName>
    <definedName name="Z_0209E02E_B33B_4D8D_AC6C_B840332A9263__wvu_FilterData" localSheetId="1">Deploy!$A$11:$J$24</definedName>
    <definedName name="Z_0209E02E_B33B_4D8D_AC6C_B840332A9263__wvu_FilterData" localSheetId="0">'Iteración X'!$A$12:$J$112</definedName>
    <definedName name="Z_030C80EA_4144_4CA7_81BE_80CE3D481852__wvu_FilterData" localSheetId="1">Deploy!$A$11:$J$11</definedName>
    <definedName name="Z_030C80EA_4144_4CA7_81BE_80CE3D481852__wvu_FilterData" localSheetId="0">'Iteración X'!$A$12:$J$12</definedName>
    <definedName name="Z_0558FF18_E84A_4C7F_8CEE_DB5E8F41AB4B__wvu_FilterData" localSheetId="1">Deploy!$A$11:$J$24</definedName>
    <definedName name="Z_0558FF18_E84A_4C7F_8CEE_DB5E8F41AB4B__wvu_FilterData" localSheetId="0">'Iteración X'!$A$12:$J$112</definedName>
    <definedName name="Z_08C55740_6583_41CC_B932_824666F9DF1B__wvu_FilterData" localSheetId="1">Deploy!$A$11:$J$24</definedName>
    <definedName name="Z_08C55740_6583_41CC_B932_824666F9DF1B__wvu_FilterData" localSheetId="0">'Iteración X'!$A$12:$J$112</definedName>
    <definedName name="Z_0CAD9D2B_C0CA_425C_AEED_6D7C29DAB346__wvu_FilterData" localSheetId="1">Deploy!$A$11:$J$11</definedName>
    <definedName name="Z_0CAD9D2B_C0CA_425C_AEED_6D7C29DAB346__wvu_FilterData" localSheetId="0">'Iteración X'!$A$12:$J$12</definedName>
    <definedName name="Z_0CAD9D2B_C0CA_425C_AEED_6D7C29DAB346__wvu_Rows" localSheetId="1">Deploy!$10:$10</definedName>
    <definedName name="Z_0CAD9D2B_C0CA_425C_AEED_6D7C29DAB346__wvu_Rows" localSheetId="0">'Iteración X'!$11:$11</definedName>
    <definedName name="Z_0FFAE333_1ED7_4719_8614_D0CE06D76096__wvu_FilterData" localSheetId="1">Deploy!$A$11:$J$24</definedName>
    <definedName name="Z_0FFAE333_1ED7_4719_8614_D0CE06D76096__wvu_FilterData" localSheetId="0">'Iteración X'!$A$12:$J$112</definedName>
    <definedName name="Z_10DE6165_EA17_4CED_842C_EACF14D57CAF__wvu_FilterData" localSheetId="1">Deploy!$A$11:$J$11</definedName>
    <definedName name="Z_10DE6165_EA17_4CED_842C_EACF14D57CAF__wvu_FilterData" localSheetId="0">'Iteración X'!$A$12:$J$12</definedName>
    <definedName name="Z_149A4EBF_BFB7_4034_A6DE_4507086DC656__wvu_FilterData" localSheetId="1">Deploy!$A$11:$J$11</definedName>
    <definedName name="Z_149A4EBF_BFB7_4034_A6DE_4507086DC656__wvu_FilterData" localSheetId="0">'Iteración X'!$A$12:$J$12</definedName>
    <definedName name="Z_1AE3EA90_9A30_4A81_A1E7_3353B88B3632__wvu_FilterData" localSheetId="1">Deploy!$A$11:$J$11</definedName>
    <definedName name="Z_1AE3EA90_9A30_4A81_A1E7_3353B88B3632__wvu_FilterData" localSheetId="0">'Iteración X'!$A$12:$J$12</definedName>
    <definedName name="Z_1B9993DE_A2D1_47FB_AB0F_08E6CF077849__wvu_FilterData" localSheetId="1">Deploy!$A$11:$J$24</definedName>
    <definedName name="Z_1B9993DE_A2D1_47FB_AB0F_08E6CF077849__wvu_FilterData" localSheetId="0">'Iteración X'!$A$12:$J$112</definedName>
    <definedName name="Z_1B9993DE_A2D1_47FB_AB0F_08E6CF077849__wvu_Rows" localSheetId="1">Deploy!$10:$10</definedName>
    <definedName name="Z_1B9993DE_A2D1_47FB_AB0F_08E6CF077849__wvu_Rows" localSheetId="0">'Iteración X'!$11:$11</definedName>
    <definedName name="Z_1CA35BEB_E311_4FEB_9A84_A642415D56D2__wvu_FilterData" localSheetId="1">Deploy!$A$11:$J$24</definedName>
    <definedName name="Z_1CA35BEB_E311_4FEB_9A84_A642415D56D2__wvu_FilterData" localSheetId="0">'Iteración X'!$A$12:$J$112</definedName>
    <definedName name="Z_225F686D_3A91_43C9_BF84_4DFE4E5AA879__wvu_FilterData" localSheetId="1">Deploy!$A$11:$J$24</definedName>
    <definedName name="Z_225F686D_3A91_43C9_BF84_4DFE4E5AA879__wvu_FilterData" localSheetId="0">'Iteración X'!$A$12:$J$112</definedName>
    <definedName name="Z_2490F42C_134E_48ED_A5D1_B001970D607A__wvu_FilterData" localSheetId="1">Deploy!$A$11:$J$11</definedName>
    <definedName name="Z_2490F42C_134E_48ED_A5D1_B001970D607A__wvu_FilterData" localSheetId="0">'Iteración X'!$A$12:$J$12</definedName>
    <definedName name="Z_25949223_6250_43F3_9666_4CDC5D6367D1__wvu_FilterData" localSheetId="1">Deploy!$A$11:$J$24</definedName>
    <definedName name="Z_25949223_6250_43F3_9666_4CDC5D6367D1__wvu_FilterData" localSheetId="0">'Iteración X'!$A$12:$J$112</definedName>
    <definedName name="Z_25949223_6250_43F3_9666_4CDC5D6367D1__wvu_Rows" localSheetId="1">Deploy!$10:$10</definedName>
    <definedName name="Z_25949223_6250_43F3_9666_4CDC5D6367D1__wvu_Rows" localSheetId="0">'Iteración X'!$11:$11</definedName>
    <definedName name="Z_265C440A_4ADB_419C_B661_1508A7ECE2DF__wvu_FilterData" localSheetId="1">Deploy!$A$11:$J$11</definedName>
    <definedName name="Z_265C440A_4ADB_419C_B661_1508A7ECE2DF__wvu_FilterData" localSheetId="0">'Iteración X'!$A$12:$J$12</definedName>
    <definedName name="Z_2CD6CE06_02CA_4647_BF86_B7A4F8A17AF4__wvu_FilterData" localSheetId="1">Deploy!$A$11:$J$11</definedName>
    <definedName name="Z_2CD6CE06_02CA_4647_BF86_B7A4F8A17AF4__wvu_FilterData" localSheetId="0">'Iteración X'!$A$12:$J$12</definedName>
    <definedName name="Z_2D977798_BA42_44D9_A24F_8B5FF9BC715E__wvu_FilterData" localSheetId="1">Deploy!$A$11:$J$24</definedName>
    <definedName name="Z_2D977798_BA42_44D9_A24F_8B5FF9BC715E__wvu_FilterData" localSheetId="0">'Iteración X'!$A$12:$J$112</definedName>
    <definedName name="Z_2D977798_BA42_44D9_A24F_8B5FF9BC715E__wvu_Rows" localSheetId="1">Deploy!$10:$10</definedName>
    <definedName name="Z_2D977798_BA42_44D9_A24F_8B5FF9BC715E__wvu_Rows" localSheetId="0">'Iteración X'!$11:$11</definedName>
    <definedName name="Z_31F3A0E1_846C_4771_B1CA_EB2473681E3A__wvu_FilterData" localSheetId="1">Deploy!$A$11:$J$24</definedName>
    <definedName name="Z_31F3A0E1_846C_4771_B1CA_EB2473681E3A__wvu_FilterData" localSheetId="0">'Iteración X'!$A$12:$J$112</definedName>
    <definedName name="Z_36565787_6D19_4B52_B4ED_060CBAB9B859__wvu_FilterData" localSheetId="1">Deploy!$A$11:$J$11</definedName>
    <definedName name="Z_36565787_6D19_4B52_B4ED_060CBAB9B859__wvu_FilterData" localSheetId="0">'Iteración X'!$A$12:$J$12</definedName>
    <definedName name="Z_37E2C5A3_69B7_481D_A46F_ECC0C4711B22__wvu_FilterData" localSheetId="1">Deploy!$A$11:$J$11</definedName>
    <definedName name="Z_37E2C5A3_69B7_481D_A46F_ECC0C4711B22__wvu_FilterData" localSheetId="0">'Iteración X'!$A$12:$J$12</definedName>
    <definedName name="Z_3BA41E17_9BC0_4BF9_B012_2C2075A709B6__wvu_FilterData" localSheetId="1">Deploy!$A$11:$J$24</definedName>
    <definedName name="Z_3BA41E17_9BC0_4BF9_B012_2C2075A709B6__wvu_FilterData" localSheetId="0">'Iteración X'!$A$12:$J$112</definedName>
    <definedName name="Z_3DFBC4DA_5C5B_4B0E_972F_B79E2F95803A__wvu_FilterData" localSheetId="1">Deploy!$A$11:$J$24</definedName>
    <definedName name="Z_3DFBC4DA_5C5B_4B0E_972F_B79E2F95803A__wvu_FilterData" localSheetId="0">'Iteración X'!$A$12:$J$112</definedName>
    <definedName name="Z_43463E5D_82EB_405F_ABBC_35817EC0FEA3__wvu_FilterData" localSheetId="1">Deploy!$A$11:$J$11</definedName>
    <definedName name="Z_43463E5D_82EB_405F_ABBC_35817EC0FEA3__wvu_FilterData" localSheetId="0">'Iteración X'!$A$12:$J$12</definedName>
    <definedName name="Z_45F73531_2F3C_4D84_A537_DF04A2B182C8__wvu_FilterData" localSheetId="1">Deploy!$A$11:$J$24</definedName>
    <definedName name="Z_45F73531_2F3C_4D84_A537_DF04A2B182C8__wvu_FilterData" localSheetId="0">'Iteración X'!$A$12:$J$112</definedName>
    <definedName name="Z_45F73531_2F3C_4D84_A537_DF04A2B182C8__wvu_Rows" localSheetId="1">Deploy!$10:$10</definedName>
    <definedName name="Z_45F73531_2F3C_4D84_A537_DF04A2B182C8__wvu_Rows" localSheetId="0">'Iteración X'!$11:$11</definedName>
    <definedName name="Z_47195EF9_63E3_40F1_BFC0_1FEEF948AFE8__wvu_FilterData" localSheetId="1">Deploy!$A$11:$J$24</definedName>
    <definedName name="Z_47195EF9_63E3_40F1_BFC0_1FEEF948AFE8__wvu_FilterData" localSheetId="0">'Iteración X'!$A$12:$J$112</definedName>
    <definedName name="Z_47A42E8F_7070_4031_BD03_17E980E8ADC4__wvu_FilterData" localSheetId="1">Deploy!$A$11:$J$11</definedName>
    <definedName name="Z_47A42E8F_7070_4031_BD03_17E980E8ADC4__wvu_FilterData" localSheetId="0">'Iteración X'!$A$12:$J$12</definedName>
    <definedName name="Z_47A42E8F_7070_4031_BD03_17E980E8ADC4__wvu_Rows" localSheetId="1">Deploy!$10:$10</definedName>
    <definedName name="Z_47A42E8F_7070_4031_BD03_17E980E8ADC4__wvu_Rows" localSheetId="0">'Iteración X'!$11:$11</definedName>
    <definedName name="Z_4AB7144F_FEDC_4483_BC89_EA3C9137E3C7__wvu_FilterData" localSheetId="1">Deploy!$A$11:$J$11</definedName>
    <definedName name="Z_4AB7144F_FEDC_4483_BC89_EA3C9137E3C7__wvu_FilterData" localSheetId="0">'Iteración X'!$A$12:$J$12</definedName>
    <definedName name="Z_51AF2561_F8FA_4315_85F4_07BFE97912D7__wvu_FilterData" localSheetId="1">Deploy!$A$11:$J$24</definedName>
    <definedName name="Z_51AF2561_F8FA_4315_85F4_07BFE97912D7__wvu_FilterData" localSheetId="0">'Iteración X'!$A$12:$J$112</definedName>
    <definedName name="Z_521105C0_4642_4FF9_8599_E4B18DBABDB1__wvu_FilterData" localSheetId="1">Deploy!$A$11:$J$24</definedName>
    <definedName name="Z_521105C0_4642_4FF9_8599_E4B18DBABDB1__wvu_FilterData" localSheetId="0">'Iteración X'!$A$12:$J$112</definedName>
    <definedName name="Z_521105C0_4642_4FF9_8599_E4B18DBABDB1__wvu_Rows" localSheetId="1">Deploy!$10:$10</definedName>
    <definedName name="Z_521105C0_4642_4FF9_8599_E4B18DBABDB1__wvu_Rows" localSheetId="0">'Iteración X'!$11:$11</definedName>
    <definedName name="Z_555C3F28_B845_46AE_A451_BD18C969E56D__wvu_FilterData" localSheetId="1">Deploy!$A$11:$J$24</definedName>
    <definedName name="Z_555C3F28_B845_46AE_A451_BD18C969E56D__wvu_FilterData" localSheetId="0">'Iteración X'!$A$12:$J$112</definedName>
    <definedName name="Z_5B3E5B18_6B8A_49AA_8C80_69765FE39099__wvu_FilterData" localSheetId="1">Deploy!$A$11:$J$11</definedName>
    <definedName name="Z_5B3E5B18_6B8A_49AA_8C80_69765FE39099__wvu_FilterData" localSheetId="0">'Iteración X'!$A$12:$J$12</definedName>
    <definedName name="Z_5FF000AC_F9F3_4296_A949_E146DFA11BD8__wvu_FilterData" localSheetId="1">Deploy!$A$11:$J$24</definedName>
    <definedName name="Z_5FF000AC_F9F3_4296_A949_E146DFA11BD8__wvu_FilterData" localSheetId="0">'Iteración X'!$A$12:$J$112</definedName>
    <definedName name="Z_610D55AE_ADCD_4C93_A668_B6B1E684BFFF__wvu_FilterData" localSheetId="1">Deploy!$A$11:$J$11</definedName>
    <definedName name="Z_610D55AE_ADCD_4C93_A668_B6B1E684BFFF__wvu_FilterData" localSheetId="0">'Iteración X'!$A$12:$J$12</definedName>
    <definedName name="Z_631D7142_6864_4C8F_8B3D_851788E3421D__wvu_FilterData" localSheetId="1">Deploy!$A$11:$J$24</definedName>
    <definedName name="Z_631D7142_6864_4C8F_8B3D_851788E3421D__wvu_FilterData" localSheetId="0">'Iteración X'!$A$12:$J$112</definedName>
    <definedName name="Z_6B81B01B_93FB_4C70_8FB8_27AE0C31762A__wvu_FilterData" localSheetId="1">Deploy!$A$11:$J$24</definedName>
    <definedName name="Z_6B81B01B_93FB_4C70_8FB8_27AE0C31762A__wvu_FilterData" localSheetId="0">'Iteración X'!$A$12:$J$112</definedName>
    <definedName name="Z_6B947F65_665F_4C43_A9CE_26AC6F95A762__wvu_FilterData" localSheetId="1">Deploy!$A$11:$J$11</definedName>
    <definedName name="Z_6B947F65_665F_4C43_A9CE_26AC6F95A762__wvu_FilterData" localSheetId="0">'Iteración X'!$A$12:$J$12</definedName>
    <definedName name="Z_72E9B9C9_F1DD_45F6_AA4F_9D3B5DC5B340__wvu_FilterData" localSheetId="1">Deploy!$A$11:$J$24</definedName>
    <definedName name="Z_72E9B9C9_F1DD_45F6_AA4F_9D3B5DC5B340__wvu_FilterData" localSheetId="0">'Iteración X'!$A$12:$J$112</definedName>
    <definedName name="Z_75F9E4C2_FB83_4019_A3B4_3EF11C2EBD8B__wvu_FilterData" localSheetId="1">Deploy!$A$11:$J$24</definedName>
    <definedName name="Z_75F9E4C2_FB83_4019_A3B4_3EF11C2EBD8B__wvu_FilterData" localSheetId="0">'Iteración X'!$A$12:$J$112</definedName>
    <definedName name="Z_7945D647_88BC_41EF_A163_7D5C41B96E58__wvu_FilterData" localSheetId="1">Deploy!$A$11:$J$11</definedName>
    <definedName name="Z_7945D647_88BC_41EF_A163_7D5C41B96E58__wvu_FilterData" localSheetId="0">'Iteración X'!$A$12:$J$12</definedName>
    <definedName name="Z_7F1E60BE_6021_44E6_9F25_8EEF3A4B9668__wvu_FilterData" localSheetId="1">Deploy!$A$11:$J$11</definedName>
    <definedName name="Z_7F1E60BE_6021_44E6_9F25_8EEF3A4B9668__wvu_FilterData" localSheetId="0">'Iteración X'!$A$12:$J$12</definedName>
    <definedName name="Z_86C284F2_9F4D_4F07_B667_EBCE82FA8984__wvu_FilterData" localSheetId="1">Deploy!$A$11:$J$24</definedName>
    <definedName name="Z_86C284F2_9F4D_4F07_B667_EBCE82FA8984__wvu_FilterData" localSheetId="0">'Iteración X'!$A$12:$J$112</definedName>
    <definedName name="Z_8887BA6F_3E7E_4C15_BD03_A01C3B089C17__wvu_FilterData" localSheetId="1">Deploy!$A$11:$J$11</definedName>
    <definedName name="Z_8887BA6F_3E7E_4C15_BD03_A01C3B089C17__wvu_FilterData" localSheetId="0">'Iteración X'!$A$12:$J$12</definedName>
    <definedName name="Z_8DF22A4D_1F9E_4297_B8F9_D1CC19FDD8F6__wvu_FilterData" localSheetId="1">Deploy!$A$11:$J$11</definedName>
    <definedName name="Z_8DF22A4D_1F9E_4297_B8F9_D1CC19FDD8F6__wvu_FilterData" localSheetId="0">'Iteración X'!$A$12:$J$12</definedName>
    <definedName name="Z_95AA1249_7376_4FE9_8337_A4184C92DE9B__wvu_FilterData" localSheetId="1">Deploy!$A$11:$J$11</definedName>
    <definedName name="Z_95AA1249_7376_4FE9_8337_A4184C92DE9B__wvu_FilterData" localSheetId="0">'Iteración X'!$A$12:$J$12</definedName>
    <definedName name="Z_97BE10F2_65CA_46DE_BA12_3CC0EF4CA267__wvu_FilterData" localSheetId="1">Deploy!$A$11:$J$24</definedName>
    <definedName name="Z_97BE10F2_65CA_46DE_BA12_3CC0EF4CA267__wvu_FilterData" localSheetId="0">'Iteración X'!$A$12:$J$112</definedName>
    <definedName name="Z_97BE10F2_65CA_46DE_BA12_3CC0EF4CA267__wvu_Rows" localSheetId="1">Deploy!$10:$10</definedName>
    <definedName name="Z_97BE10F2_65CA_46DE_BA12_3CC0EF4CA267__wvu_Rows" localSheetId="0">'Iteración X'!$11:$11</definedName>
    <definedName name="Z_9E3AA867_96EC_4B2E_8CD1_04422163CA42__wvu_FilterData" localSheetId="1">Deploy!$A$11:$J$11</definedName>
    <definedName name="Z_9E3AA867_96EC_4B2E_8CD1_04422163CA42__wvu_FilterData" localSheetId="0">'Iteración X'!$A$12:$J$12</definedName>
    <definedName name="Z_9EAB3547_8A5C_4E09_922B_B4051F36C0FF__wvu_FilterData" localSheetId="1">Deploy!$A$11:$J$24</definedName>
    <definedName name="Z_9EAB3547_8A5C_4E09_922B_B4051F36C0FF__wvu_FilterData" localSheetId="0">'Iteración X'!$A$12:$J$112</definedName>
    <definedName name="Z_9EBF1676_2463_4738_B615_6EC4D507142A__wvu_FilterData" localSheetId="1">Deploy!$A$11:$J$11</definedName>
    <definedName name="Z_9EBF1676_2463_4738_B615_6EC4D507142A__wvu_FilterData" localSheetId="0">'Iteración X'!$A$12:$J$12</definedName>
    <definedName name="Z_9F8D6B77_7A94_4286_9E13_6B31E0BA980B__wvu_FilterData" localSheetId="1">Deploy!$A$11:$J$24</definedName>
    <definedName name="Z_9F8D6B77_7A94_4286_9E13_6B31E0BA980B__wvu_FilterData" localSheetId="0">'Iteración X'!$A$12:$J$112</definedName>
    <definedName name="Z_A13CD051_7755_4FBF_A84B_7951D4709A8E__wvu_FilterData" localSheetId="1">Deploy!$A$11:$J$24</definedName>
    <definedName name="Z_A13CD051_7755_4FBF_A84B_7951D4709A8E__wvu_FilterData" localSheetId="0">'Iteración X'!$A$12:$J$112</definedName>
    <definedName name="Z_A2757BE6_7C27_48D6_9965_FE79ED6CF914__wvu_FilterData" localSheetId="1">Deploy!$A$11:$J$11</definedName>
    <definedName name="Z_A2757BE6_7C27_48D6_9965_FE79ED6CF914__wvu_FilterData" localSheetId="0">'Iteración X'!$A$12:$J$12</definedName>
    <definedName name="Z_A2757BE6_7C27_48D6_9965_FE79ED6CF914__wvu_Rows" localSheetId="1">Deploy!$10:$10</definedName>
    <definedName name="Z_A2757BE6_7C27_48D6_9965_FE79ED6CF914__wvu_Rows" localSheetId="0">'Iteración X'!$11:$11</definedName>
    <definedName name="Z_A7D629DB_3E4B_46B7_8E36_5BA11B4E9D9D__wvu_FilterData" localSheetId="1">Deploy!$A$11:$J$24</definedName>
    <definedName name="Z_A7D629DB_3E4B_46B7_8E36_5BA11B4E9D9D__wvu_FilterData" localSheetId="0">'Iteración X'!$A$12:$J$112</definedName>
    <definedName name="Z_A9FE217F_6713_44C1_A910_DA4BD5F6CC03__wvu_FilterData" localSheetId="1">Deploy!$A$11:$J$24</definedName>
    <definedName name="Z_A9FE217F_6713_44C1_A910_DA4BD5F6CC03__wvu_FilterData" localSheetId="0">'Iteración X'!$A$12:$J$112</definedName>
    <definedName name="Z_AE6EE79F_880B_4627_A3CA_5D08C1296D57__wvu_FilterData" localSheetId="1">Deploy!$A$11:$J$24</definedName>
    <definedName name="Z_AE6EE79F_880B_4627_A3CA_5D08C1296D57__wvu_FilterData" localSheetId="0">'Iteración X'!$A$12:$J$112</definedName>
    <definedName name="Z_B2AAD47A_00AF_4869_8A21_1352D212F595__wvu_FilterData" localSheetId="1">Deploy!$A$11:$J$24</definedName>
    <definedName name="Z_B2AAD47A_00AF_4869_8A21_1352D212F595__wvu_FilterData" localSheetId="0">'Iteración X'!$A$12:$J$112</definedName>
    <definedName name="Z_B4026E83_5D39_462B_9222_E5F820284D56__wvu_FilterData" localSheetId="1">Deploy!$A$11:$J$24</definedName>
    <definedName name="Z_B4026E83_5D39_462B_9222_E5F820284D56__wvu_FilterData" localSheetId="0">'Iteración X'!$A$12:$J$112</definedName>
    <definedName name="Z_B455107F_044D_4FAC_B244_25F4B309C6EE__wvu_FilterData" localSheetId="1">Deploy!$A$11:$J$24</definedName>
    <definedName name="Z_B455107F_044D_4FAC_B244_25F4B309C6EE__wvu_FilterData" localSheetId="0">'Iteración X'!$A$12:$J$112</definedName>
    <definedName name="Z_B8B7F5D4_803A_4CB0_AEA7_71492145237C__wvu_FilterData" localSheetId="1">Deploy!$A$11:$J$24</definedName>
    <definedName name="Z_B8B7F5D4_803A_4CB0_AEA7_71492145237C__wvu_FilterData" localSheetId="0">'Iteración X'!$A$12:$J$112</definedName>
    <definedName name="Z_B92DCF37_2E91_470B_95F4_217CAD369642__wvu_FilterData" localSheetId="1">Deploy!$A$11:$J$24</definedName>
    <definedName name="Z_B92DCF37_2E91_470B_95F4_217CAD369642__wvu_FilterData" localSheetId="0">'Iteración X'!$A$12:$J$112</definedName>
    <definedName name="Z_BAE38BAE_F109_458E_A2B5_71F4D1CD5BB3__wvu_FilterData" localSheetId="1">Deploy!$A$11:$J$24</definedName>
    <definedName name="Z_BAE38BAE_F109_458E_A2B5_71F4D1CD5BB3__wvu_FilterData" localSheetId="0">'Iteración X'!$A$12:$J$112</definedName>
    <definedName name="Z_C414071F_AB8A_453E_8A22_D64FD53DD72D__wvu_FilterData" localSheetId="1">Deploy!$A$11:$J$24</definedName>
    <definedName name="Z_C414071F_AB8A_453E_8A22_D64FD53DD72D__wvu_FilterData" localSheetId="0">'Iteración X'!$A$12:$J$112</definedName>
    <definedName name="Z_C53F921B_C614_4C5B_96D2_6C0FA8EB37C1__wvu_FilterData" localSheetId="1">Deploy!$A$11:$J$24</definedName>
    <definedName name="Z_C53F921B_C614_4C5B_96D2_6C0FA8EB37C1__wvu_FilterData" localSheetId="0">'Iteración X'!$A$12:$J$112</definedName>
    <definedName name="Z_C9603F70_45E4_4CAE_8A7D_679FAFE11A70__wvu_FilterData" localSheetId="1">Deploy!$A$11:$J$11</definedName>
    <definedName name="Z_C9603F70_45E4_4CAE_8A7D_679FAFE11A70__wvu_FilterData" localSheetId="0">'Iteración X'!$A$12:$J$12</definedName>
    <definedName name="Z_CCF060F9_D59C_4E89_82B0_742FDD1B1BDE__wvu_FilterData" localSheetId="1">Deploy!$A$11:$J$24</definedName>
    <definedName name="Z_CCF060F9_D59C_4E89_82B0_742FDD1B1BDE__wvu_FilterData" localSheetId="0">'Iteración X'!$A$12:$J$112</definedName>
    <definedName name="Z_D5B4B5C3_FDAD_43A9_B55E_79B80C460B5A__wvu_FilterData" localSheetId="1">Deploy!$A$11:$J$11</definedName>
    <definedName name="Z_D5B4B5C3_FDAD_43A9_B55E_79B80C460B5A__wvu_FilterData" localSheetId="0">'Iteración X'!$A$12:$J$12</definedName>
    <definedName name="Z_DBDC959D_F5A7_4195_B9F6_3307B3FB55A8__wvu_FilterData" localSheetId="1">Deploy!$A$11:$J$11</definedName>
    <definedName name="Z_DBDC959D_F5A7_4195_B9F6_3307B3FB55A8__wvu_FilterData" localSheetId="0">'Iteración X'!$A$12:$J$12</definedName>
    <definedName name="Z_E260B85E_BFB6_4CFA_85E6_C1D933463B99__wvu_FilterData" localSheetId="1">Deploy!$A$11:$J$11</definedName>
    <definedName name="Z_E260B85E_BFB6_4CFA_85E6_C1D933463B99__wvu_FilterData" localSheetId="0">'Iteración X'!$A$12:$J$12</definedName>
    <definedName name="Z_ECDFFCD9_D2F6_4CDC_AE8F_DF382E63A143__wvu_FilterData" localSheetId="1">Deploy!$A$11:$J$24</definedName>
    <definedName name="Z_ECDFFCD9_D2F6_4CDC_AE8F_DF382E63A143__wvu_FilterData" localSheetId="0">'Iteración X'!$A$12:$J$112</definedName>
    <definedName name="Z_EEB65FC4_0FAA_498B_9370_AA2D3E462002__wvu_FilterData" localSheetId="1">Deploy!$A$11:$J$24</definedName>
    <definedName name="Z_EEB65FC4_0FAA_498B_9370_AA2D3E462002__wvu_FilterData" localSheetId="0">'Iteración X'!$A$12:$J$112</definedName>
    <definedName name="Z_F235A223_F31B_4646_B307_F2C2B9AE7781__wvu_FilterData" localSheetId="1">Deploy!$A$11:$J$11</definedName>
    <definedName name="Z_F235A223_F31B_4646_B307_F2C2B9AE7781__wvu_FilterData" localSheetId="0">'Iteración X'!$A$12:$J$12</definedName>
    <definedName name="Z_F3DC8E9C_CE47_46E9_A0DE_A4CA1F847CC3__wvu_FilterData" localSheetId="1">Deploy!$A$11:$J$24</definedName>
    <definedName name="Z_F3DC8E9C_CE47_46E9_A0DE_A4CA1F847CC3__wvu_FilterData" localSheetId="0">'Iteración X'!$A$12:$J$112</definedName>
    <definedName name="Z_FDFEE391_B33C_4C3E_A184_18458B08356A__wvu_FilterData" localSheetId="1">Deploy!$A$11:$J$24</definedName>
    <definedName name="Z_FDFEE391_B33C_4C3E_A184_18458B08356A__wvu_FilterData" localSheetId="0">'Iteración X'!$A$12:$J$112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E8" i="2"/>
  <c r="E7" i="2"/>
  <c r="E6" i="2"/>
  <c r="E5" i="2"/>
  <c r="C2" i="3" s="1"/>
  <c r="E4" i="2"/>
  <c r="E9" i="2" s="1"/>
  <c r="A1" i="2"/>
  <c r="J10" i="1"/>
  <c r="E8" i="1"/>
  <c r="E7" i="1"/>
  <c r="E6" i="1"/>
  <c r="E5" i="1"/>
  <c r="E4" i="1"/>
  <c r="E10" i="1" s="1"/>
  <c r="E3" i="1"/>
  <c r="E9" i="1" s="1"/>
  <c r="B3" i="3" s="1"/>
  <c r="B2" i="3" l="1"/>
  <c r="B5" i="3" s="1"/>
  <c r="F6" i="2"/>
  <c r="F9" i="2"/>
  <c r="F5" i="2"/>
  <c r="F8" i="2"/>
  <c r="F4" i="2"/>
  <c r="F7" i="2"/>
  <c r="F10" i="1"/>
  <c r="F6" i="1"/>
  <c r="F7" i="1"/>
  <c r="F9" i="1"/>
  <c r="F5" i="1"/>
  <c r="F8" i="1"/>
  <c r="F4" i="1"/>
  <c r="C5" i="3"/>
  <c r="D5" i="3" s="1"/>
  <c r="D2" i="3"/>
  <c r="C3" i="3"/>
  <c r="D3" i="3" s="1"/>
</calcChain>
</file>

<file path=xl/sharedStrings.xml><?xml version="1.0" encoding="utf-8"?>
<sst xmlns="http://schemas.openxmlformats.org/spreadsheetml/2006/main" count="1058" uniqueCount="285">
  <si>
    <t>Iteración X — Oracle Bot Test Plan</t>
  </si>
  <si>
    <t>U</t>
  </si>
  <si>
    <t>P</t>
  </si>
  <si>
    <t>F</t>
  </si>
  <si>
    <t>S</t>
  </si>
  <si>
    <t>B</t>
  </si>
  <si>
    <t>N/A</t>
  </si>
  <si>
    <t>Total</t>
  </si>
  <si>
    <t>#Test</t>
  </si>
  <si>
    <t>Priority</t>
  </si>
  <si>
    <t>Description</t>
  </si>
  <si>
    <t>Result</t>
  </si>
  <si>
    <t>Module</t>
  </si>
  <si>
    <t>Assignee</t>
  </si>
  <si>
    <t>Automated?</t>
  </si>
  <si>
    <t>File</t>
  </si>
  <si>
    <t>Type</t>
  </si>
  <si>
    <t>Comments</t>
  </si>
  <si>
    <t>Status</t>
  </si>
  <si>
    <t>P1</t>
  </si>
  <si>
    <t>Create work item with valid title and description</t>
  </si>
  <si>
    <t>Backend Service</t>
  </si>
  <si>
    <t>QA Team</t>
  </si>
  <si>
    <t>Yes</t>
  </si>
  <si>
    <t>WorkItemService.java</t>
  </si>
  <si>
    <t>White Box</t>
  </si>
  <si>
    <t>Verify DB row inserted with all required fields.</t>
  </si>
  <si>
    <t>Passed</t>
  </si>
  <si>
    <t>Create work item with no title (empty string)</t>
  </si>
  <si>
    <t>Expect 400 Bad Request with validation message.</t>
  </si>
  <si>
    <t>Create work item with title = 1 character</t>
  </si>
  <si>
    <t>Black Box</t>
  </si>
  <si>
    <t>Boundary: minimum valid length.</t>
  </si>
  <si>
    <t>Create work item with title = 255 characters</t>
  </si>
  <si>
    <t>Boundary: maximum valid length.</t>
  </si>
  <si>
    <t>Create work item with title = 256 characters</t>
  </si>
  <si>
    <t>Boundary: one over max, expect rejection.</t>
  </si>
  <si>
    <t>Create work item with title = 3000 characters</t>
  </si>
  <si>
    <t>Extreme boundary, expect 400 or truncation policy enforced.</t>
  </si>
  <si>
    <t>P2</t>
  </si>
  <si>
    <t>Create work item with title containing special characters (!@#$)</t>
  </si>
  <si>
    <t>Verify special chars are stored and returned without corruption.</t>
  </si>
  <si>
    <t>Create work item with SQL injection attempt in title</t>
  </si>
  <si>
    <t>Security</t>
  </si>
  <si>
    <t>Use parameterized query check; no DB error should surface.</t>
  </si>
  <si>
    <t>Create work item with XSS payload in title field</t>
  </si>
  <si>
    <t>WorkItemController.java</t>
  </si>
  <si>
    <t>Expect output encoding on retrieval; no script execution.</t>
  </si>
  <si>
    <t>Create work item with Unicode and emoji characters in title</t>
  </si>
  <si>
    <t>Verify UTF-8 storage and retrieval integrity.</t>
  </si>
  <si>
    <t>Create work item with only whitespace as title</t>
  </si>
  <si>
    <t>Trimming logic should treat as empty; expect rejection.</t>
  </si>
  <si>
    <t>Create Feature work item with acceptance_criteria field</t>
  </si>
  <si>
    <t>FeatureService.java</t>
  </si>
  <si>
    <t>Verify ISA subtype row inserted in Feature table.</t>
  </si>
  <si>
    <t>Create Bug work item with severity and environment fields</t>
  </si>
  <si>
    <t>BugService.java</t>
  </si>
  <si>
    <t>Verify Bug subtype row inserted with severity enum validated.</t>
  </si>
  <si>
    <t>Create Issue work item with reproduction_steps field</t>
  </si>
  <si>
    <t>IssueService.java</t>
  </si>
  <si>
    <t>Verify Issue subtype row inserted correctly.</t>
  </si>
  <si>
    <t>Create work item with no type specified</t>
  </si>
  <si>
    <t>Expect 400 with descriptive error about missing type.</t>
  </si>
  <si>
    <t>Create work item assigned to non-existent user ID</t>
  </si>
  <si>
    <t>FK constraint should raise 404 for user before insert.</t>
  </si>
  <si>
    <t>Create work item with due_date in the past</t>
  </si>
  <si>
    <t>Business rule: warn or reject past due dates.</t>
  </si>
  <si>
    <t>Create work item with due_date = today</t>
  </si>
  <si>
    <t>Boundary: same-day due date should be accepted.</t>
  </si>
  <si>
    <t>P3</t>
  </si>
  <si>
    <t>Create work item without authentication token</t>
  </si>
  <si>
    <t>Expect 401 Unauthorized before any processing.</t>
  </si>
  <si>
    <t>Create work item and verify created_at is auto-set by server</t>
  </si>
  <si>
    <t>Client must not supply created_at; server sets it via DB trigger.</t>
  </si>
  <si>
    <t>View list of all work items in an active sprint</t>
  </si>
  <si>
    <t>API Layer</t>
  </si>
  <si>
    <t>Integration</t>
  </si>
  <si>
    <t>Verify response array matches DB count for sprint.</t>
  </si>
  <si>
    <t>View work item detail by valid ID</t>
  </si>
  <si>
    <t>Verify all fields returned including subtype attributes.</t>
  </si>
  <si>
    <t>View work item detail with non-existent ID</t>
  </si>
  <si>
    <t>Expect 404 with meaningful error message.</t>
  </si>
  <si>
    <t>View work item belonging to another team (unauthorized)</t>
  </si>
  <si>
    <t>IDOR check: row-level security must block cross-team access.</t>
  </si>
  <si>
    <t>Filter work items by status = In Progress</t>
  </si>
  <si>
    <t>Verify only In Progress items returned; check SQL WHERE clause.</t>
  </si>
  <si>
    <t>Filter work items by specific assignee</t>
  </si>
  <si>
    <t>Verify join to WorkItemAssignment filters correctly.</t>
  </si>
  <si>
    <t>Filter work items with no matching results</t>
  </si>
  <si>
    <t>UI Components</t>
  </si>
  <si>
    <t>work-item-dashboard-page.tsx</t>
  </si>
  <si>
    <t>Lateral / Black Box</t>
  </si>
  <si>
    <t>Verify empty state component renders; no JS error thrown.</t>
  </si>
  <si>
    <t>Switch to Kanban view mode on work item dashboard</t>
  </si>
  <si>
    <t>kanban-board.tsx</t>
  </si>
  <si>
    <t>Avoid full page reload between view modes.</t>
  </si>
  <si>
    <t>Switch to List view mode on work item dashboard</t>
  </si>
  <si>
    <t>Verify list renders same data as Kanban without flicker.</t>
  </si>
  <si>
    <t>Search work item by exact keyword via search bar</t>
  </si>
  <si>
    <t>Component</t>
  </si>
  <si>
    <t>Search bar triggers debounced API call; verify result set.</t>
  </si>
  <si>
    <t>Search work item by partial keyword via search bar</t>
  </si>
  <si>
    <t>LIKE query behavior; verify partial matches included.</t>
  </si>
  <si>
    <t>Edit work item title with valid new value</t>
  </si>
  <si>
    <t>Verify PATCH updates only title; other fields unchanged.</t>
  </si>
  <si>
    <t>Edit work item status from To Do to In Progress</t>
  </si>
  <si>
    <t>Verify valid state transition accepted and persisted.</t>
  </si>
  <si>
    <t>Edit work item status from In Progress to Done</t>
  </si>
  <si>
    <t>Verify state transition and updated_at refreshed.</t>
  </si>
  <si>
    <t>Edit work item title to empty string</t>
  </si>
  <si>
    <t>Same validation as creation; expect 400 rejection.</t>
  </si>
  <si>
    <t>Edit work item and verify updated_at timestamp changes</t>
  </si>
  <si>
    <t>updated_at must differ from created_at after PATCH.</t>
  </si>
  <si>
    <t>Edit work item as developer who is not the assignee</t>
  </si>
  <si>
    <t>Role policy: only assignee or Manager may edit; expect 403.</t>
  </si>
  <si>
    <t>Edit work item priority from Low to High</t>
  </si>
  <si>
    <t>Verify priority enum update persisted and returned.</t>
  </si>
  <si>
    <t>Edit Bug severity field to an invalid enum value</t>
  </si>
  <si>
    <t>Expect 400 with enum validation error listing valid values.</t>
  </si>
  <si>
    <t>Mark work item as complete from list view</t>
  </si>
  <si>
    <t>End-to-End</t>
  </si>
  <si>
    <t>Functional</t>
  </si>
  <si>
    <t>Core user workflow; verify status = Done in DB after action.</t>
  </si>
  <si>
    <t>Mark work item as complete from Kanban view</t>
  </si>
  <si>
    <t>Drag-to-Done column should trigger same API as list view.</t>
  </si>
  <si>
    <t>Mark already-completed work item as complete again</t>
  </si>
  <si>
    <t>Idempotent call; expect 200 with no duplicate side effects.</t>
  </si>
  <si>
    <t>Delete work item as Manager</t>
  </si>
  <si>
    <t>Verify 204 response and row removed from DB.</t>
  </si>
  <si>
    <t>Delete work item as Developer (should be denied)</t>
  </si>
  <si>
    <t>Expect 403 Forbidden; verify no DB mutation occurred.</t>
  </si>
  <si>
    <t>Create sprint with valid name, start and end dates</t>
  </si>
  <si>
    <t>SprintService.java</t>
  </si>
  <si>
    <t>Verify sprint row inserted with status = Planned.</t>
  </si>
  <si>
    <t>Create sprint with end_date before start_date</t>
  </si>
  <si>
    <t>Expect 400 with clear date range validation message.</t>
  </si>
  <si>
    <t>Create sprint with no name</t>
  </si>
  <si>
    <t>Required field; expect 400 rejection.</t>
  </si>
  <si>
    <t>Create sprint with dates overlapping an existing sprint</t>
  </si>
  <si>
    <t>Lateral / White Box</t>
  </si>
  <si>
    <t>Business rule: overlapping sprints within same team disallowed.</t>
  </si>
  <si>
    <t>Assign work item to active sprint</t>
  </si>
  <si>
    <t>SprintController.java</t>
  </si>
  <si>
    <t>Verify FK sprint_id set on work_item row.</t>
  </si>
  <si>
    <t>Assign work item to already-closed sprint</t>
  </si>
  <si>
    <t>Expect rejection; closed sprints should be immutable.</t>
  </si>
  <si>
    <t>View sprint with zero work items</t>
  </si>
  <si>
    <t>No</t>
  </si>
  <si>
    <t>sprint-panel.tsx</t>
  </si>
  <si>
    <t>Empty state should render sprint goal; no null pointer crash.</t>
  </si>
  <si>
    <t>Close sprint with open work items still remaining</t>
  </si>
  <si>
    <t>Expect warning dialog; verify user can confirm or cancel.</t>
  </si>
  <si>
    <t>Create team with valid name</t>
  </si>
  <si>
    <t>TeamService.java</t>
  </si>
  <si>
    <t>Verify team row created with created_at set.</t>
  </si>
  <si>
    <t>Add user to team with role = Developer</t>
  </si>
  <si>
    <t>TeamMemberService.java</t>
  </si>
  <si>
    <t>Verify TeamMember row with correct role and joined_at.</t>
  </si>
  <si>
    <t>Add user to team with role = Manager</t>
  </si>
  <si>
    <t>Verify role stored correctly; Manager can then access admin actions.</t>
  </si>
  <si>
    <t>Add same user to same team twice</t>
  </si>
  <si>
    <t>Composite PK constraint should reject duplicate; expect 409.</t>
  </si>
  <si>
    <t>Remove user from team (set left_at timestamp)</t>
  </si>
  <si>
    <t>Soft remove: left_at set, row retained for audit history.</t>
  </si>
  <si>
    <t>Create team with no name</t>
  </si>
  <si>
    <t>Required field; expect 400 validation error.</t>
  </si>
  <si>
    <t>View team members list</t>
  </si>
  <si>
    <t>TeamController.java</t>
  </si>
  <si>
    <t>Verify all active members returned (left_at IS NULL).</t>
  </si>
  <si>
    <t>Add comment to a work item</t>
  </si>
  <si>
    <t>CommentService.java</t>
  </si>
  <si>
    <t>Verify comment row with correct work_item_id and user_id.</t>
  </si>
  <si>
    <t>Add empty comment to a work item</t>
  </si>
  <si>
    <t>Required content field; expect 400 rejection.</t>
  </si>
  <si>
    <t>Reply to existing comment (nested comment)</t>
  </si>
  <si>
    <t>Recursive self-FK: verify parent_comment_id set correctly.</t>
  </si>
  <si>
    <t>Add comment with 5000-character content</t>
  </si>
  <si>
    <t>Extreme length boundary; verify DB column accommodates or rejects.</t>
  </si>
  <si>
    <t>Add comment with XSS payload in content field</t>
  </si>
  <si>
    <t>Use standard XSS payloads; verify encoding on output.</t>
  </si>
  <si>
    <t>Create tag with valid name and color</t>
  </si>
  <si>
    <t>TagService.java</t>
  </si>
  <si>
    <t>Verify tag row created; color stored as hex string.</t>
  </si>
  <si>
    <t>Assign tag to work item</t>
  </si>
  <si>
    <t>Verify WorkItemTag M:N row inserted.</t>
  </si>
  <si>
    <t>Assign same tag to same work item twice</t>
  </si>
  <si>
    <t>Duplicate insert should be idempotent or return 409.</t>
  </si>
  <si>
    <t>Create tag with a duplicate name</t>
  </si>
  <si>
    <t>Unique constraint on tag name; expect 409 Conflict.</t>
  </si>
  <si>
    <t>Remove tag from work item</t>
  </si>
  <si>
    <t>Verify WorkItemTag row deleted; tag record itself preserved.</t>
  </si>
  <si>
    <t>Link two work items with link_type = blocks</t>
  </si>
  <si>
    <t>WorkItemLinkService.java</t>
  </si>
  <si>
    <t>Verify WorkItemLink row with correct link_type enum value.</t>
  </si>
  <si>
    <t>Link a work item to itself</t>
  </si>
  <si>
    <t>Guard clause must prevent self-referencing link; expect 400.</t>
  </si>
  <si>
    <t>Link two work items with link_type = depends_on</t>
  </si>
  <si>
    <t>Verify enum stored correctly and returned in GET response.</t>
  </si>
  <si>
    <t>Delete work item that has outgoing WorkItemLinks</t>
  </si>
  <si>
    <t>Verify cascading delete removes associated link rows.</t>
  </si>
  <si>
    <t>Developer retrieves assigned work items via Telegram bot</t>
  </si>
  <si>
    <t>TelegramBotController.java</t>
  </si>
  <si>
    <t>Core user workflow; verify bot returns correct item list.</t>
  </si>
  <si>
    <t>Developer updates work item progress via Telegram</t>
  </si>
  <si>
    <t>Bot command triggers same WorkItemService as web UI.</t>
  </si>
  <si>
    <t>Manager views sprint progress via Telegram</t>
  </si>
  <si>
    <t>Verify sprint summary metrics returned accurately.</t>
  </si>
  <si>
    <t>Telegram bot handles Telegram API being unavailable</t>
  </si>
  <si>
    <t>Architecture</t>
  </si>
  <si>
    <t>Simulate network failure; expect exponential backoff + fallback message.</t>
  </si>
  <si>
    <t>Unauthorized Telegram user attempts to access system</t>
  </si>
  <si>
    <t>Unregistered telegram_user_id should get 401 before any data.</t>
  </si>
  <si>
    <t>Send malformed command to Telegram bot</t>
  </si>
  <si>
    <t>Expect friendly error message; no stack trace exposed to user.</t>
  </si>
  <si>
    <t>Telegram bot responds within 2 seconds under normal load</t>
  </si>
  <si>
    <t>Performance</t>
  </si>
  <si>
    <t>Non-Functional</t>
  </si>
  <si>
    <t>Latency SLA; requires baseline DB with realistic data volume.</t>
  </si>
  <si>
    <t>Search work items using exact keyword match</t>
  </si>
  <si>
    <t>SemanticSearchController.java</t>
  </si>
  <si>
    <t>Requires pre-populated vector DB with indexed work items.</t>
  </si>
  <si>
    <t>Search work items using semantically related phrase</t>
  </si>
  <si>
    <t>Verify cosine similarity returns relevant results without exact match.</t>
  </si>
  <si>
    <t>Search with empty query string</t>
  </si>
  <si>
    <t>semantic-search-panel.tsx</t>
  </si>
  <si>
    <t>Input validation; expect clear prompt or disabled submit button.</t>
  </si>
  <si>
    <t>Search with query matching no work items</t>
  </si>
  <si>
    <t>Empty result state must render; no null reference error.</t>
  </si>
  <si>
    <t>Search returns only work items from user's own team</t>
  </si>
  <si>
    <t>SemanticSearchService.java</t>
  </si>
  <si>
    <t>Vector query must be scoped to team_id; verify isolation.</t>
  </si>
  <si>
    <t>View analytics dashboard with completed sprint data</t>
  </si>
  <si>
    <t>analytics-dashboard.tsx</t>
  </si>
  <si>
    <t>Verify charts render with correct sprint velocity values.</t>
  </si>
  <si>
    <t>View analytics dashboard with no sprint data</t>
  </si>
  <si>
    <t>Empty state component should render; no chart library crash.</t>
  </si>
  <si>
    <t>Sprint velocity chart reflects actual completed item count</t>
  </si>
  <si>
    <t>AnalyticsService.java</t>
  </si>
  <si>
    <t>Cross-check chart data against direct DB count query.</t>
  </si>
  <si>
    <t>Team workload chart shows correct per-assignee task counts</t>
  </si>
  <si>
    <t>Verify join to WorkItemAssignment aggregation is accurate.</t>
  </si>
  <si>
    <t>Login with valid Telegram credentials</t>
  </si>
  <si>
    <t>AuthController.java</t>
  </si>
  <si>
    <t>Core workflow; verify session token issued and stored.</t>
  </si>
  <si>
    <t>Login with unregistered telegram_user_id</t>
  </si>
  <si>
    <t>Expect 401 with message; no internal error details exposed.</t>
  </si>
  <si>
    <t>Admin creates a new user account</t>
  </si>
  <si>
    <t>UserController.java</t>
  </si>
  <si>
    <t>Verify user row created with correct role and team membership.</t>
  </si>
  <si>
    <t>Developer attempts Admin-only action</t>
  </si>
  <si>
    <t>Expect 403 Forbidden; verify no data mutation side effect.</t>
  </si>
  <si>
    <t>Session token expires and user is redirected to login</t>
  </si>
  <si>
    <t>Simulate token expiry; verify 401 triggers client-side redirect.</t>
  </si>
  <si>
    <t>Access protected API endpoint without Bearer token</t>
  </si>
  <si>
    <t>Expect 401; no business logic executed without auth.</t>
  </si>
  <si>
    <t>System handles 50 concurrent work item creation requests</t>
  </si>
  <si>
    <t>Requires 10k+ records in DB; check for race conditions and deadlocks.</t>
  </si>
  <si>
    <t>Database deleted: verify PITR restores data within RTO</t>
  </si>
  <si>
    <t>N/A - Infrastructure</t>
  </si>
  <si>
    <t>Simulate DB deletion per failure scenario; validate recovery playbook.</t>
  </si>
  <si>
    <t>Page load time under 3 seconds on standard connection</t>
  </si>
  <si>
    <t>Use Lighthouse or WebPageTest; measure Time to Interactive.</t>
  </si>
  <si>
    <t>System displays graceful error when DB is unreachable</t>
  </si>
  <si>
    <t>Simulate network failure to DB; expect 503 and user-friendly message.</t>
  </si>
  <si>
    <t>Light/Dark mode toggle applies consistently across all views</t>
  </si>
  <si>
    <t>Check for CSS class changes across all route transitions.</t>
  </si>
  <si>
    <t>UI renders correctly on mobile viewport (380px wide)</t>
  </si>
  <si>
    <t>Responsive design; check for horizontal scroll or overflow.</t>
  </si>
  <si>
    <t>Resultados</t>
  </si>
  <si>
    <t>Total de ejecución de Ideas de prueba</t>
  </si>
  <si>
    <t>#Prueba/Pendiente</t>
  </si>
  <si>
    <t>Prioridad</t>
  </si>
  <si>
    <t>Descripción de la Idea de Prueba</t>
  </si>
  <si>
    <t>Resultado</t>
  </si>
  <si>
    <t>Módulo</t>
  </si>
  <si>
    <t>Ing. De Pruebas</t>
  </si>
  <si>
    <t>Aplicación</t>
  </si>
  <si>
    <t># de Ejecuciones</t>
  </si>
  <si>
    <t>Tipo de Prueba</t>
  </si>
  <si>
    <t>Comentarios</t>
  </si>
  <si>
    <t>Unidad</t>
  </si>
  <si>
    <t>Ejecutados</t>
  </si>
  <si>
    <t>Porcentaje Ejecución</t>
  </si>
  <si>
    <t>Deploy</t>
  </si>
  <si>
    <t>Iteración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</si>
</sst>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&quot; h&quot;"/>
    <numFmt numFmtId="166" formatCode="0&quot; m&quot;"/>
  </numFmts>
  <fonts count="18" x14ac:knownFonts="1">
    <font>
      <sz val="10"/>
      <name val="Arial"/>
      <charset val="1"/>
    </font>
    <font>
      <sz val="10"/>
      <name val="Arial"/>
      <family val="2"/>
      <charset val="1"/>
    </font>
    <font>
      <sz val="8"/>
      <name val="Tahoma"/>
      <family val="2"/>
      <charset val="1"/>
    </font>
    <font>
      <b/>
      <sz val="8"/>
      <name val="Tahoma"/>
      <family val="2"/>
      <charset val="1"/>
    </font>
    <font>
      <sz val="8"/>
      <name val="Arial"/>
      <family val="2"/>
      <charset val="1"/>
    </font>
    <font>
      <b/>
      <sz val="14"/>
      <color rgb="FF1F4E79"/>
      <name val="Arial"/>
      <charset val="1"/>
    </font>
    <font>
      <b/>
      <sz val="8"/>
      <color rgb="FFFFFFFF"/>
      <name val="Tahoma"/>
      <family val="2"/>
      <charset val="1"/>
    </font>
    <font>
      <b/>
      <sz val="8"/>
      <color rgb="FFFFFFFF"/>
      <name val="Arial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595959"/>
      <name val="Arial"/>
      <charset val="1"/>
    </font>
    <font>
      <u/>
      <sz val="9"/>
      <color rgb="FF0000FF"/>
      <name val="Arial"/>
      <family val="2"/>
      <charset val="1"/>
    </font>
    <font>
      <b/>
      <sz val="8"/>
      <name val="Arial"/>
      <family val="2"/>
      <charset val="1"/>
    </font>
    <font>
      <sz val="14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name val="Arial"/>
      <family val="2"/>
      <charset val="1"/>
    </font>
    <font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EAEAEA"/>
        <bgColor rgb="FFE2EFDA"/>
      </patternFill>
    </fill>
    <fill>
      <patternFill patternType="solid">
        <fgColor rgb="FF000000"/>
        <bgColor rgb="FF290000"/>
      </patternFill>
    </fill>
    <fill>
      <patternFill patternType="solid">
        <fgColor rgb="FFFFFFFF"/>
        <bgColor rgb="FFFFF2CC"/>
      </patternFill>
    </fill>
    <fill>
      <patternFill patternType="solid">
        <fgColor rgb="FFC0C0C0"/>
        <bgColor rgb="FFCCCCFF"/>
      </patternFill>
    </fill>
    <fill>
      <patternFill patternType="solid">
        <fgColor rgb="FF1F4E79"/>
        <bgColor rgb="FF333333"/>
      </patternFill>
    </fill>
    <fill>
      <patternFill patternType="solid">
        <fgColor rgb="FFFFD7D7"/>
        <bgColor rgb="FFEAEAEA"/>
      </patternFill>
    </fill>
    <fill>
      <patternFill patternType="solid">
        <fgColor rgb="FFFFF2CC"/>
        <bgColor rgb="FFEAEAEA"/>
      </patternFill>
    </fill>
    <fill>
      <patternFill patternType="solid">
        <fgColor rgb="FFE2EFDA"/>
        <bgColor rgb="FFEAEAEA"/>
      </patternFill>
    </fill>
    <fill>
      <patternFill patternType="solid">
        <fgColor rgb="FF333333"/>
        <bgColor rgb="FF292918"/>
      </patternFill>
    </fill>
    <fill>
      <patternFill patternType="solid">
        <fgColor rgb="FF33CCCC"/>
        <bgColor rgb="FF00CCFF"/>
      </patternFill>
    </fill>
    <fill>
      <patternFill patternType="solid">
        <fgColor rgb="FF00FF00"/>
        <bgColor rgb="FF33CCCC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/>
  </cellStyleXfs>
  <cellXfs count="7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2" fillId="2" borderId="0" xfId="0" applyNumberFormat="1" applyFont="1" applyFill="1"/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164" fontId="6" fillId="4" borderId="0" xfId="0" applyNumberFormat="1" applyFont="1" applyFill="1" applyAlignment="1">
      <alignment horizontal="left"/>
    </xf>
    <xf numFmtId="0" fontId="6" fillId="3" borderId="1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0" xfId="0" applyFont="1" applyFill="1" applyAlignment="1">
      <alignment vertical="top"/>
    </xf>
    <xf numFmtId="164" fontId="6" fillId="3" borderId="0" xfId="0" applyNumberFormat="1" applyFont="1" applyFill="1" applyAlignment="1">
      <alignment vertical="top"/>
    </xf>
    <xf numFmtId="0" fontId="2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4" borderId="0" xfId="0" applyFont="1" applyFill="1"/>
    <xf numFmtId="0" fontId="4" fillId="4" borderId="0" xfId="0" applyFont="1" applyFill="1"/>
    <xf numFmtId="9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 wrapText="1"/>
    </xf>
    <xf numFmtId="9" fontId="3" fillId="5" borderId="5" xfId="0" applyNumberFormat="1" applyFont="1" applyFill="1" applyBorder="1" applyAlignment="1">
      <alignment horizontal="center" vertical="center" wrapText="1"/>
    </xf>
    <xf numFmtId="165" fontId="3" fillId="5" borderId="0" xfId="0" applyNumberFormat="1" applyFont="1" applyFill="1" applyAlignment="1">
      <alignment horizontal="center" vertical="center" wrapText="1"/>
    </xf>
    <xf numFmtId="165" fontId="3" fillId="5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/>
    <xf numFmtId="0" fontId="8" fillId="6" borderId="5" xfId="0" applyFont="1" applyFill="1" applyBorder="1" applyAlignment="1">
      <alignment horizontal="center" vertical="center" wrapText="1"/>
    </xf>
    <xf numFmtId="164" fontId="8" fillId="6" borderId="5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11" fillId="9" borderId="5" xfId="0" applyFont="1" applyFill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left" vertical="center" wrapText="1"/>
    </xf>
    <xf numFmtId="166" fontId="9" fillId="8" borderId="5" xfId="0" applyNumberFormat="1" applyFont="1" applyFill="1" applyBorder="1" applyAlignment="1">
      <alignment horizontal="left" vertical="center" wrapText="1"/>
    </xf>
    <xf numFmtId="164" fontId="9" fillId="9" borderId="5" xfId="0" applyNumberFormat="1" applyFont="1" applyFill="1" applyBorder="1" applyAlignment="1">
      <alignment horizontal="left" vertical="center" wrapText="1"/>
    </xf>
    <xf numFmtId="166" fontId="9" fillId="9" borderId="5" xfId="0" applyNumberFormat="1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center" wrapText="1"/>
    </xf>
    <xf numFmtId="0" fontId="7" fillId="10" borderId="5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6" fillId="10" borderId="8" xfId="0" applyFont="1" applyFill="1" applyBorder="1" applyAlignment="1">
      <alignment horizontal="center" wrapText="1"/>
    </xf>
    <xf numFmtId="0" fontId="12" fillId="0" borderId="5" xfId="0" applyFont="1" applyBorder="1"/>
    <xf numFmtId="0" fontId="1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4" fillId="0" borderId="5" xfId="0" applyFont="1" applyBorder="1" applyAlignment="1">
      <alignment horizontal="center" vertical="top" wrapText="1"/>
    </xf>
    <xf numFmtId="166" fontId="4" fillId="4" borderId="5" xfId="0" applyNumberFormat="1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166" fontId="2" fillId="4" borderId="5" xfId="0" applyNumberFormat="1" applyFont="1" applyFill="1" applyBorder="1" applyAlignment="1">
      <alignment horizontal="left" vertical="top" wrapText="1"/>
    </xf>
    <xf numFmtId="0" fontId="14" fillId="0" borderId="0" xfId="0" applyFont="1"/>
    <xf numFmtId="1" fontId="14" fillId="0" borderId="0" xfId="0" applyNumberFormat="1" applyFont="1"/>
    <xf numFmtId="9" fontId="14" fillId="0" borderId="0" xfId="0" applyNumberFormat="1" applyFont="1"/>
    <xf numFmtId="0" fontId="15" fillId="11" borderId="5" xfId="0" applyFont="1" applyFill="1" applyBorder="1"/>
    <xf numFmtId="1" fontId="15" fillId="11" borderId="5" xfId="0" applyNumberFormat="1" applyFont="1" applyFill="1" applyBorder="1"/>
    <xf numFmtId="9" fontId="15" fillId="11" borderId="5" xfId="0" applyNumberFormat="1" applyFont="1" applyFill="1" applyBorder="1"/>
    <xf numFmtId="0" fontId="16" fillId="0" borderId="5" xfId="0" applyFont="1" applyBorder="1"/>
    <xf numFmtId="1" fontId="14" fillId="0" borderId="5" xfId="0" applyNumberFormat="1" applyFont="1" applyBorder="1"/>
    <xf numFmtId="9" fontId="14" fillId="12" borderId="5" xfId="0" applyNumberFormat="1" applyFont="1" applyFill="1" applyBorder="1"/>
    <xf numFmtId="0" fontId="14" fillId="11" borderId="5" xfId="0" applyFont="1" applyFill="1" applyBorder="1"/>
    <xf numFmtId="0" fontId="5" fillId="3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164" fontId="2" fillId="2" borderId="0" xfId="0" applyNumberFormat="1" applyFont="1" applyFill="1"/>
    <xf numFmtId="0" fontId="6" fillId="3" borderId="0" xfId="0" applyFont="1" applyFill="1" applyAlignment="1">
      <alignment horizontal="left"/>
    </xf>
  </cellXfs>
  <cellStyles count="6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Percent 2" xfId="5" xr:uid="{00000000-0005-0000-0000-00000A000000}"/>
  </cellStyles>
  <dxfs count="6">
    <dxf>
      <font>
        <color rgb="FFFFFFFF"/>
        <name val="Arial"/>
        <charset val="1"/>
      </font>
      <fill>
        <patternFill>
          <bgColor rgb="FF00FF00"/>
        </patternFill>
      </fill>
    </dxf>
    <dxf>
      <font>
        <b/>
        <color rgb="FFFFFFFF"/>
        <name val="Arial"/>
        <charset val="1"/>
      </font>
      <fill>
        <patternFill>
          <bgColor rgb="FFFFFF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color rgb="FFFFFFFF"/>
        <name val="Arial"/>
        <charset val="1"/>
      </font>
      <fill>
        <patternFill>
          <bgColor rgb="FF00FF00"/>
        </patternFill>
      </fill>
    </dxf>
    <dxf>
      <font>
        <b/>
        <color rgb="FFFFFFFF"/>
        <name val="Arial"/>
        <charset val="1"/>
      </font>
      <fill>
        <patternFill>
          <bgColor rgb="FFFFFF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92918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EAEA"/>
      <rgbColor rgb="FF29000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62626"/>
      <rgbColor rgb="FF339966"/>
      <rgbColor rgb="FF002900"/>
      <rgbColor rgb="FF2929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2.5115433048831699E-2"/>
          <c:y val="7.14707619610159E-2"/>
          <c:w val="0.89296208199244398"/>
          <c:h val="0.920259893679858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'Iteración X'!$D$5</c:f>
              <c:strCache>
                <c:ptCount val="1"/>
                <c:pt idx="0">
                  <c:v>F</c:v>
                </c:pt>
              </c:strCache>
            </c:strRef>
          </c:tx>
          <c:spPr>
            <a:gradFill>
              <a:gsLst>
                <a:gs pos="0">
                  <a:srgbClr val="002900"/>
                </a:gs>
                <a:gs pos="50000">
                  <a:srgbClr val="00FF00"/>
                </a:gs>
                <a:gs pos="100000">
                  <a:srgbClr val="0029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'Iteración X'!$E$5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C-6B41-88F8-0BB1B7DA69E9}"/>
            </c:ext>
          </c:extLst>
        </c:ser>
        <c:ser>
          <c:idx val="1"/>
          <c:order val="1"/>
          <c:tx>
            <c:strRef>
              <c:f>'Iteración X'!$D$6</c:f>
              <c:strCache>
                <c:ptCount val="1"/>
                <c:pt idx="0">
                  <c:v>S</c:v>
                </c:pt>
              </c:strCache>
            </c:strRef>
          </c:tx>
          <c:spPr>
            <a:gradFill>
              <a:gsLst>
                <a:gs pos="0">
                  <a:srgbClr val="290000"/>
                </a:gs>
                <a:gs pos="50000">
                  <a:srgbClr val="FF0000"/>
                </a:gs>
                <a:gs pos="100000">
                  <a:srgbClr val="2900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'Iteración X'!$E$6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C-6B41-88F8-0BB1B7DA69E9}"/>
            </c:ext>
          </c:extLst>
        </c:ser>
        <c:ser>
          <c:idx val="2"/>
          <c:order val="2"/>
          <c:tx>
            <c:strRef>
              <c:f>'Iteración X'!$D$8</c:f>
              <c:strCache>
                <c:ptCount val="1"/>
                <c:pt idx="0">
                  <c:v>N/A</c:v>
                </c:pt>
              </c:strCache>
            </c:strRef>
          </c:tx>
          <c:spPr>
            <a:gradFill>
              <a:gsLst>
                <a:gs pos="0">
                  <a:srgbClr val="292900"/>
                </a:gs>
                <a:gs pos="50000">
                  <a:srgbClr val="FFFF00"/>
                </a:gs>
                <a:gs pos="100000">
                  <a:srgbClr val="2929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'Iteración X'!$E$8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C-6B41-88F8-0BB1B7DA69E9}"/>
            </c:ext>
          </c:extLst>
        </c:ser>
        <c:ser>
          <c:idx val="3"/>
          <c:order val="3"/>
          <c:tx>
            <c:strRef>
              <c:f>'Iteración X'!$D$4</c:f>
              <c:strCache>
                <c:ptCount val="1"/>
                <c:pt idx="0">
                  <c:v>P</c:v>
                </c:pt>
              </c:strCache>
            </c:strRef>
          </c:tx>
          <c:spPr>
            <a:gradFill>
              <a:gsLst>
                <a:gs pos="0">
                  <a:srgbClr val="292918"/>
                </a:gs>
                <a:gs pos="50000">
                  <a:srgbClr val="FFFF99"/>
                </a:gs>
                <a:gs pos="100000">
                  <a:srgbClr val="292918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'Iteración X'!$E$4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C-6B41-88F8-0BB1B7DA69E9}"/>
            </c:ext>
          </c:extLst>
        </c:ser>
        <c:ser>
          <c:idx val="4"/>
          <c:order val="4"/>
          <c:tx>
            <c:strRef>
              <c:f>'Iteración X'!$D$7</c:f>
              <c:strCache>
                <c:ptCount val="1"/>
                <c:pt idx="0">
                  <c:v>B</c:v>
                </c:pt>
              </c:strCache>
            </c:strRef>
          </c:tx>
          <c:spPr>
            <a:gradFill>
              <a:gsLst>
                <a:gs pos="0">
                  <a:srgbClr val="262626"/>
                </a:gs>
                <a:gs pos="50000">
                  <a:srgbClr val="EAEAEA"/>
                </a:gs>
                <a:gs pos="100000">
                  <a:srgbClr val="262626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'Iteración X'!$E$7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C-6B41-88F8-0BB1B7DA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4464522"/>
        <c:axId val="76181368"/>
      </c:barChart>
      <c:catAx>
        <c:axId val="8446452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6181368"/>
        <c:crosses val="autoZero"/>
        <c:auto val="1"/>
        <c:lblAlgn val="ctr"/>
        <c:lblOffset val="100"/>
        <c:noMultiLvlLbl val="0"/>
      </c:catAx>
      <c:valAx>
        <c:axId val="7618136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MX"/>
          </a:p>
        </c:txPr>
        <c:crossAx val="84464522"/>
        <c:crossesAt val="1"/>
        <c:crossBetween val="midCat"/>
      </c:valAx>
    </c:plotArea>
    <c:legend>
      <c:legendPos val="r"/>
      <c:layout>
        <c:manualLayout>
          <c:xMode val="edge"/>
          <c:yMode val="edge"/>
          <c:x val="0.92489724016441599"/>
          <c:y val="8.8644832320062802E-2"/>
          <c:w val="4.9735760422783298E-2"/>
          <c:h val="0.88566385565797201"/>
        </c:manualLayout>
      </c:layout>
      <c:overlay val="0"/>
      <c:spPr>
        <a:noFill/>
        <a:ln w="0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1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2.2585547345805201E-2"/>
          <c:y val="5.3479381443299001E-2"/>
          <c:w val="0.89744799035791001"/>
          <c:h val="0.9340635738831619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Deploy!$D$5</c:f>
              <c:strCache>
                <c:ptCount val="1"/>
                <c:pt idx="0">
                  <c:v>P</c:v>
                </c:pt>
              </c:strCache>
            </c:strRef>
          </c:tx>
          <c:spPr>
            <a:gradFill>
              <a:gsLst>
                <a:gs pos="0">
                  <a:srgbClr val="002900"/>
                </a:gs>
                <a:gs pos="50000">
                  <a:srgbClr val="00FF00"/>
                </a:gs>
                <a:gs pos="100000">
                  <a:srgbClr val="0029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Deploy!$E$5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6-8640-81DF-C8E0C2FCB399}"/>
            </c:ext>
          </c:extLst>
        </c:ser>
        <c:ser>
          <c:idx val="1"/>
          <c:order val="1"/>
          <c:tx>
            <c:strRef>
              <c:f>Deploy!$D$6</c:f>
              <c:strCache>
                <c:ptCount val="1"/>
                <c:pt idx="0">
                  <c:v>F</c:v>
                </c:pt>
              </c:strCache>
            </c:strRef>
          </c:tx>
          <c:spPr>
            <a:gradFill>
              <a:gsLst>
                <a:gs pos="0">
                  <a:srgbClr val="290000"/>
                </a:gs>
                <a:gs pos="50000">
                  <a:srgbClr val="FF0000"/>
                </a:gs>
                <a:gs pos="100000">
                  <a:srgbClr val="2900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Deploy!$E$6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6-8640-81DF-C8E0C2FCB399}"/>
            </c:ext>
          </c:extLst>
        </c:ser>
        <c:ser>
          <c:idx val="2"/>
          <c:order val="2"/>
          <c:tx>
            <c:strRef>
              <c:f>Deploy!$D$8</c:f>
              <c:strCache>
                <c:ptCount val="1"/>
                <c:pt idx="0">
                  <c:v>B</c:v>
                </c:pt>
              </c:strCache>
            </c:strRef>
          </c:tx>
          <c:spPr>
            <a:gradFill>
              <a:gsLst>
                <a:gs pos="0">
                  <a:srgbClr val="292900"/>
                </a:gs>
                <a:gs pos="50000">
                  <a:srgbClr val="FFFF00"/>
                </a:gs>
                <a:gs pos="100000">
                  <a:srgbClr val="292900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Deploy!$E$8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6-8640-81DF-C8E0C2FCB399}"/>
            </c:ext>
          </c:extLst>
        </c:ser>
        <c:ser>
          <c:idx val="3"/>
          <c:order val="3"/>
          <c:tx>
            <c:strRef>
              <c:f>Deploy!$D$4</c:f>
              <c:strCache>
                <c:ptCount val="1"/>
                <c:pt idx="0">
                  <c:v>U</c:v>
                </c:pt>
              </c:strCache>
            </c:strRef>
          </c:tx>
          <c:spPr>
            <a:gradFill>
              <a:gsLst>
                <a:gs pos="0">
                  <a:srgbClr val="292918"/>
                </a:gs>
                <a:gs pos="50000">
                  <a:srgbClr val="FFFF99"/>
                </a:gs>
                <a:gs pos="100000">
                  <a:srgbClr val="292918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Deploy!$E$4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6-8640-81DF-C8E0C2FCB399}"/>
            </c:ext>
          </c:extLst>
        </c:ser>
        <c:ser>
          <c:idx val="4"/>
          <c:order val="4"/>
          <c:tx>
            <c:strRef>
              <c:f>Deploy!$D$7</c:f>
              <c:strCache>
                <c:ptCount val="1"/>
                <c:pt idx="0">
                  <c:v>S</c:v>
                </c:pt>
              </c:strCache>
            </c:strRef>
          </c:tx>
          <c:spPr>
            <a:gradFill>
              <a:gsLst>
                <a:gs pos="0">
                  <a:srgbClr val="262626"/>
                </a:gs>
                <a:gs pos="50000">
                  <a:srgbClr val="EAEAEA"/>
                </a:gs>
                <a:gs pos="100000">
                  <a:srgbClr val="262626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Deploy!$E$7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6-8640-81DF-C8E0C2FCB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2219356"/>
        <c:axId val="4274658"/>
      </c:barChart>
      <c:catAx>
        <c:axId val="622193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74658"/>
        <c:crosses val="autoZero"/>
        <c:auto val="1"/>
        <c:lblAlgn val="ctr"/>
        <c:lblOffset val="100"/>
        <c:noMultiLvlLbl val="0"/>
      </c:catAx>
      <c:valAx>
        <c:axId val="427465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MX"/>
          </a:p>
        </c:txPr>
        <c:crossAx val="62219356"/>
        <c:crossesAt val="1"/>
        <c:crossBetween val="midCat"/>
      </c:valAx>
    </c:plotArea>
    <c:legend>
      <c:legendPos val="r"/>
      <c:layout>
        <c:manualLayout>
          <c:xMode val="edge"/>
          <c:yMode val="edge"/>
          <c:x val="0.928006287660466"/>
          <c:y val="8.9392643284858894E-2"/>
          <c:w val="4.9934503536808998E-2"/>
          <c:h val="0.89029084687767301"/>
        </c:manualLayout>
      </c:layout>
      <c:overlay val="0"/>
      <c:spPr>
        <a:noFill/>
        <a:ln w="0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1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3876840</xdr:colOff>
      <xdr:row>9</xdr:row>
      <xdr:rowOff>799560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4428000</xdr:colOff>
      <xdr:row>8</xdr:row>
      <xdr:rowOff>799560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18"/>
  <sheetViews>
    <sheetView tabSelected="1" zoomScaleNormal="100" workbookViewId="0">
      <pane ySplit="12" topLeftCell="A13" activePane="bottomLeft" state="frozen"/>
      <selection pane="bottomLeft" activeCell="H13" sqref="H13"/>
    </sheetView>
  </sheetViews>
  <sheetFormatPr baseColWidth="10" defaultColWidth="9.1640625" defaultRowHeight="13" x14ac:dyDescent="0.15"/>
  <cols>
    <col min="1" max="1" width="8" style="1" customWidth="1"/>
    <col min="2" max="2" width="10" style="2" customWidth="1"/>
    <col min="3" max="3" width="55" style="3" customWidth="1"/>
    <col min="4" max="4" width="9" style="2" customWidth="1"/>
    <col min="5" max="5" width="18" style="1" customWidth="1"/>
    <col min="6" max="6" width="14" style="1" customWidth="1"/>
    <col min="7" max="7" width="12" style="1" customWidth="1"/>
    <col min="8" max="8" width="25.1640625" style="4" bestFit="1" customWidth="1"/>
    <col min="9" max="9" width="15.83203125" style="4" bestFit="1" customWidth="1"/>
    <col min="10" max="10" width="58.6640625" style="1" bestFit="1" customWidth="1"/>
    <col min="11" max="257" width="9.1640625" style="1" customWidth="1"/>
  </cols>
  <sheetData>
    <row r="1" spans="1:11" ht="10.5" customHeight="1" x14ac:dyDescent="0.2">
      <c r="A1" s="72" t="s">
        <v>0</v>
      </c>
      <c r="B1" s="73"/>
      <c r="C1" s="74"/>
      <c r="D1" s="73"/>
      <c r="E1" s="75"/>
      <c r="F1" s="75"/>
      <c r="G1" s="75"/>
      <c r="H1" s="76"/>
      <c r="I1" s="76"/>
      <c r="J1" s="75"/>
    </row>
    <row r="2" spans="1:11" ht="3.75" customHeight="1" x14ac:dyDescent="0.15">
      <c r="A2" s="5"/>
      <c r="B2" s="5"/>
      <c r="C2" s="6"/>
      <c r="D2" s="5"/>
      <c r="E2" s="5"/>
      <c r="F2" s="5"/>
      <c r="G2" s="5"/>
      <c r="H2" s="7"/>
      <c r="I2" s="7"/>
      <c r="J2" s="5"/>
    </row>
    <row r="3" spans="1:11" ht="10.5" customHeight="1" x14ac:dyDescent="0.15">
      <c r="A3" s="5"/>
      <c r="B3" s="5"/>
      <c r="C3" s="6"/>
      <c r="D3" s="8" t="s">
        <v>1</v>
      </c>
      <c r="E3" s="8">
        <f>COUNTIF($D$13:$D$113,"U")</f>
        <v>0</v>
      </c>
      <c r="F3" s="9"/>
      <c r="G3" s="10"/>
      <c r="H3" s="11"/>
      <c r="I3" s="11"/>
      <c r="J3" s="12"/>
    </row>
    <row r="4" spans="1:11" ht="12" customHeight="1" x14ac:dyDescent="0.15">
      <c r="A4" s="5"/>
      <c r="B4" s="5"/>
      <c r="C4" s="6"/>
      <c r="D4" s="13" t="s">
        <v>2</v>
      </c>
      <c r="E4" s="13">
        <f>COUNTIF($D$13:$D$113,"P")</f>
        <v>100</v>
      </c>
      <c r="F4" s="14">
        <f t="shared" ref="F4:F9" si="0">IF($E$10=0,"-",$E4/$E$10)</f>
        <v>0.99009900990099009</v>
      </c>
      <c r="G4" s="15"/>
      <c r="H4" s="16"/>
      <c r="I4" s="16"/>
      <c r="J4" s="12"/>
    </row>
    <row r="5" spans="1:11" ht="12" customHeight="1" x14ac:dyDescent="0.15">
      <c r="A5" s="5"/>
      <c r="B5" s="5"/>
      <c r="C5" s="6"/>
      <c r="D5" s="13" t="s">
        <v>3</v>
      </c>
      <c r="E5" s="13">
        <f>COUNTIF($D$13:$D$113,"F")</f>
        <v>0</v>
      </c>
      <c r="F5" s="14">
        <f t="shared" si="0"/>
        <v>0</v>
      </c>
      <c r="G5" s="15"/>
      <c r="H5" s="16"/>
      <c r="I5" s="16"/>
      <c r="J5" s="12"/>
    </row>
    <row r="6" spans="1:11" ht="12" customHeight="1" x14ac:dyDescent="0.15">
      <c r="A6" s="5"/>
      <c r="B6" s="5"/>
      <c r="C6" s="6"/>
      <c r="D6" s="13" t="s">
        <v>4</v>
      </c>
      <c r="E6" s="13">
        <f>COUNTIF($D$13:$D$113,"S")</f>
        <v>0</v>
      </c>
      <c r="F6" s="14">
        <f t="shared" si="0"/>
        <v>0</v>
      </c>
      <c r="G6" s="15"/>
      <c r="H6" s="16"/>
      <c r="I6" s="16"/>
      <c r="J6" s="12"/>
    </row>
    <row r="7" spans="1:11" ht="10.5" customHeight="1" x14ac:dyDescent="0.15">
      <c r="A7" s="12"/>
      <c r="B7" s="17"/>
      <c r="C7" s="18"/>
      <c r="D7" s="13" t="s">
        <v>5</v>
      </c>
      <c r="E7" s="13">
        <f>COUNTIF($D$13:$D$113,"B")</f>
        <v>0</v>
      </c>
      <c r="F7" s="14">
        <f t="shared" si="0"/>
        <v>0</v>
      </c>
      <c r="G7" s="15"/>
      <c r="H7" s="16"/>
      <c r="I7" s="16"/>
      <c r="J7" s="12"/>
    </row>
    <row r="8" spans="1:11" ht="12" customHeight="1" x14ac:dyDescent="0.15">
      <c r="A8" s="12"/>
      <c r="B8" s="17"/>
      <c r="C8" s="18"/>
      <c r="D8" s="13" t="s">
        <v>6</v>
      </c>
      <c r="E8" s="13">
        <f>COUNTIF($D$13:$D$113,"N/A")</f>
        <v>1</v>
      </c>
      <c r="F8" s="19">
        <f t="shared" si="0"/>
        <v>9.9009900990099011E-3</v>
      </c>
      <c r="G8" s="15"/>
      <c r="H8" s="16"/>
      <c r="I8" s="16"/>
      <c r="J8" s="12"/>
    </row>
    <row r="9" spans="1:11" ht="12" customHeight="1" x14ac:dyDescent="0.15">
      <c r="A9" s="12"/>
      <c r="B9" s="17"/>
      <c r="C9" s="18"/>
      <c r="D9" s="20" t="s">
        <v>7</v>
      </c>
      <c r="E9" s="20">
        <f>SUM(E3:E8)</f>
        <v>101</v>
      </c>
      <c r="F9" s="21">
        <f t="shared" si="0"/>
        <v>1</v>
      </c>
      <c r="G9" s="15"/>
      <c r="H9" s="16"/>
      <c r="I9" s="16"/>
      <c r="J9" s="12"/>
    </row>
    <row r="10" spans="1:11" ht="63" customHeight="1" x14ac:dyDescent="0.15">
      <c r="A10" s="12"/>
      <c r="B10" s="17"/>
      <c r="C10" s="18"/>
      <c r="D10" s="22" t="s">
        <v>7</v>
      </c>
      <c r="E10" s="23">
        <f>SUM(E4:E8)</f>
        <v>101</v>
      </c>
      <c r="F10" s="24">
        <f>IF($E$10=0,"-",$E$10/$E$10)</f>
        <v>1</v>
      </c>
      <c r="G10" s="25"/>
      <c r="H10" s="26"/>
      <c r="I10" s="26"/>
      <c r="J10" s="27">
        <f>SUM(H:H)</f>
        <v>0</v>
      </c>
    </row>
    <row r="11" spans="1:11" ht="12.75" customHeight="1" x14ac:dyDescent="0.15">
      <c r="A11" s="12"/>
      <c r="B11" s="17"/>
      <c r="C11" s="18"/>
      <c r="D11" s="17"/>
      <c r="E11" s="12"/>
      <c r="F11" s="12"/>
      <c r="G11" s="12"/>
      <c r="H11" s="28"/>
      <c r="I11" s="28"/>
      <c r="J11" s="12"/>
    </row>
    <row r="12" spans="1:11" ht="12.75" customHeight="1" x14ac:dyDescent="0.15">
      <c r="A12" s="29" t="s">
        <v>8</v>
      </c>
      <c r="B12" s="29" t="s">
        <v>9</v>
      </c>
      <c r="C12" s="29" t="s">
        <v>10</v>
      </c>
      <c r="D12" s="29" t="s">
        <v>11</v>
      </c>
      <c r="E12" s="29" t="s">
        <v>12</v>
      </c>
      <c r="F12" s="29" t="s">
        <v>13</v>
      </c>
      <c r="G12" s="29" t="s">
        <v>14</v>
      </c>
      <c r="H12" s="30" t="s">
        <v>15</v>
      </c>
      <c r="I12" s="30" t="s">
        <v>16</v>
      </c>
      <c r="J12" s="29" t="s">
        <v>17</v>
      </c>
      <c r="K12" t="s">
        <v>18</v>
      </c>
    </row>
    <row r="13" spans="1:11" ht="15" customHeight="1" x14ac:dyDescent="0.15">
      <c r="A13" s="31">
        <v>1</v>
      </c>
      <c r="B13" s="32" t="s">
        <v>19</v>
      </c>
      <c r="C13" s="33" t="s">
        <v>20</v>
      </c>
      <c r="D13" s="34" t="s">
        <v>2</v>
      </c>
      <c r="E13" s="33" t="s">
        <v>21</v>
      </c>
      <c r="F13" s="31" t="s">
        <v>22</v>
      </c>
      <c r="G13" s="31" t="s">
        <v>23</v>
      </c>
      <c r="H13" s="33" t="s">
        <v>24</v>
      </c>
      <c r="I13" s="33" t="s">
        <v>25</v>
      </c>
      <c r="J13" s="33" t="s">
        <v>26</v>
      </c>
      <c r="K13" t="s">
        <v>27</v>
      </c>
    </row>
    <row r="14" spans="1:11" ht="15" customHeight="1" x14ac:dyDescent="0.15">
      <c r="A14" s="31">
        <v>2</v>
      </c>
      <c r="B14" s="32" t="s">
        <v>19</v>
      </c>
      <c r="C14" s="33" t="s">
        <v>28</v>
      </c>
      <c r="D14" s="34" t="s">
        <v>2</v>
      </c>
      <c r="E14" s="33" t="s">
        <v>21</v>
      </c>
      <c r="F14" s="31" t="s">
        <v>22</v>
      </c>
      <c r="G14" s="31" t="s">
        <v>23</v>
      </c>
      <c r="H14" s="33" t="s">
        <v>24</v>
      </c>
      <c r="I14" s="33" t="s">
        <v>25</v>
      </c>
      <c r="J14" s="33" t="s">
        <v>29</v>
      </c>
      <c r="K14" t="s">
        <v>27</v>
      </c>
    </row>
    <row r="15" spans="1:11" ht="15" customHeight="1" x14ac:dyDescent="0.15">
      <c r="A15" s="31">
        <v>3</v>
      </c>
      <c r="B15" s="32" t="s">
        <v>19</v>
      </c>
      <c r="C15" s="33" t="s">
        <v>30</v>
      </c>
      <c r="D15" s="34" t="s">
        <v>2</v>
      </c>
      <c r="E15" s="33" t="s">
        <v>21</v>
      </c>
      <c r="F15" s="31" t="s">
        <v>22</v>
      </c>
      <c r="G15" s="31" t="s">
        <v>23</v>
      </c>
      <c r="H15" s="33" t="s">
        <v>24</v>
      </c>
      <c r="I15" s="33" t="s">
        <v>31</v>
      </c>
      <c r="J15" s="33" t="s">
        <v>32</v>
      </c>
      <c r="K15" t="s">
        <v>27</v>
      </c>
    </row>
    <row r="16" spans="1:11" ht="15" customHeight="1" x14ac:dyDescent="0.15">
      <c r="A16" s="31">
        <v>4</v>
      </c>
      <c r="B16" s="32" t="s">
        <v>19</v>
      </c>
      <c r="C16" s="33" t="s">
        <v>33</v>
      </c>
      <c r="D16" s="34" t="s">
        <v>2</v>
      </c>
      <c r="E16" s="33" t="s">
        <v>21</v>
      </c>
      <c r="F16" s="31" t="s">
        <v>22</v>
      </c>
      <c r="G16" s="31" t="s">
        <v>23</v>
      </c>
      <c r="H16" s="33" t="s">
        <v>24</v>
      </c>
      <c r="I16" s="33" t="s">
        <v>31</v>
      </c>
      <c r="J16" s="33" t="s">
        <v>34</v>
      </c>
      <c r="K16" t="s">
        <v>27</v>
      </c>
    </row>
    <row r="17" spans="1:11" ht="15" customHeight="1" x14ac:dyDescent="0.15">
      <c r="A17" s="31">
        <v>5</v>
      </c>
      <c r="B17" s="32" t="s">
        <v>19</v>
      </c>
      <c r="C17" s="33" t="s">
        <v>35</v>
      </c>
      <c r="D17" s="34" t="s">
        <v>2</v>
      </c>
      <c r="E17" s="33" t="s">
        <v>21</v>
      </c>
      <c r="F17" s="31" t="s">
        <v>22</v>
      </c>
      <c r="G17" s="31" t="s">
        <v>23</v>
      </c>
      <c r="H17" s="33" t="s">
        <v>24</v>
      </c>
      <c r="I17" s="33" t="s">
        <v>31</v>
      </c>
      <c r="J17" s="33" t="s">
        <v>36</v>
      </c>
      <c r="K17" t="s">
        <v>27</v>
      </c>
    </row>
    <row r="18" spans="1:11" ht="15" customHeight="1" x14ac:dyDescent="0.15">
      <c r="A18" s="31">
        <v>6</v>
      </c>
      <c r="B18" s="32" t="s">
        <v>19</v>
      </c>
      <c r="C18" s="33" t="s">
        <v>37</v>
      </c>
      <c r="D18" s="34" t="s">
        <v>2</v>
      </c>
      <c r="E18" s="33" t="s">
        <v>21</v>
      </c>
      <c r="F18" s="31" t="s">
        <v>22</v>
      </c>
      <c r="G18" s="31" t="s">
        <v>23</v>
      </c>
      <c r="H18" s="33" t="s">
        <v>24</v>
      </c>
      <c r="I18" s="33" t="s">
        <v>31</v>
      </c>
      <c r="J18" s="33" t="s">
        <v>38</v>
      </c>
      <c r="K18" t="s">
        <v>27</v>
      </c>
    </row>
    <row r="19" spans="1:11" ht="15" customHeight="1" x14ac:dyDescent="0.15">
      <c r="A19" s="35">
        <v>7</v>
      </c>
      <c r="B19" s="36" t="s">
        <v>39</v>
      </c>
      <c r="C19" s="37" t="s">
        <v>40</v>
      </c>
      <c r="D19" s="38" t="s">
        <v>2</v>
      </c>
      <c r="E19" s="37" t="s">
        <v>21</v>
      </c>
      <c r="F19" s="35" t="s">
        <v>22</v>
      </c>
      <c r="G19" s="35" t="s">
        <v>23</v>
      </c>
      <c r="H19" s="37" t="s">
        <v>24</v>
      </c>
      <c r="I19" s="37" t="s">
        <v>31</v>
      </c>
      <c r="J19" s="37" t="s">
        <v>41</v>
      </c>
      <c r="K19" t="s">
        <v>27</v>
      </c>
    </row>
    <row r="20" spans="1:11" ht="15" customHeight="1" x14ac:dyDescent="0.15">
      <c r="A20" s="35">
        <v>8</v>
      </c>
      <c r="B20" s="36" t="s">
        <v>39</v>
      </c>
      <c r="C20" s="37" t="s">
        <v>42</v>
      </c>
      <c r="D20" s="38" t="s">
        <v>2</v>
      </c>
      <c r="E20" s="37" t="s">
        <v>43</v>
      </c>
      <c r="F20" s="35" t="s">
        <v>22</v>
      </c>
      <c r="G20" s="35" t="s">
        <v>23</v>
      </c>
      <c r="H20" s="37" t="s">
        <v>24</v>
      </c>
      <c r="I20" s="37" t="s">
        <v>25</v>
      </c>
      <c r="J20" s="37" t="s">
        <v>44</v>
      </c>
      <c r="K20" t="s">
        <v>27</v>
      </c>
    </row>
    <row r="21" spans="1:11" ht="15" customHeight="1" x14ac:dyDescent="0.15">
      <c r="A21" s="35">
        <v>9</v>
      </c>
      <c r="B21" s="36" t="s">
        <v>39</v>
      </c>
      <c r="C21" s="37" t="s">
        <v>45</v>
      </c>
      <c r="D21" s="38" t="s">
        <v>2</v>
      </c>
      <c r="E21" s="37" t="s">
        <v>43</v>
      </c>
      <c r="F21" s="35" t="s">
        <v>22</v>
      </c>
      <c r="G21" s="35" t="s">
        <v>23</v>
      </c>
      <c r="H21" s="37" t="s">
        <v>46</v>
      </c>
      <c r="I21" s="37" t="s">
        <v>25</v>
      </c>
      <c r="J21" s="37" t="s">
        <v>47</v>
      </c>
      <c r="K21" t="s">
        <v>27</v>
      </c>
    </row>
    <row r="22" spans="1:11" ht="15" customHeight="1" x14ac:dyDescent="0.15">
      <c r="A22" s="35">
        <v>10</v>
      </c>
      <c r="B22" s="36" t="s">
        <v>39</v>
      </c>
      <c r="C22" s="37" t="s">
        <v>48</v>
      </c>
      <c r="D22" s="38" t="s">
        <v>2</v>
      </c>
      <c r="E22" s="37" t="s">
        <v>21</v>
      </c>
      <c r="F22" s="35" t="s">
        <v>22</v>
      </c>
      <c r="G22" s="35" t="s">
        <v>23</v>
      </c>
      <c r="H22" s="37" t="s">
        <v>24</v>
      </c>
      <c r="I22" s="37" t="s">
        <v>31</v>
      </c>
      <c r="J22" s="37" t="s">
        <v>49</v>
      </c>
      <c r="K22" t="s">
        <v>27</v>
      </c>
    </row>
    <row r="23" spans="1:11" ht="15" customHeight="1" x14ac:dyDescent="0.15">
      <c r="A23" s="35">
        <v>11</v>
      </c>
      <c r="B23" s="36" t="s">
        <v>39</v>
      </c>
      <c r="C23" s="37" t="s">
        <v>50</v>
      </c>
      <c r="D23" s="38" t="s">
        <v>2</v>
      </c>
      <c r="E23" s="37" t="s">
        <v>21</v>
      </c>
      <c r="F23" s="35" t="s">
        <v>22</v>
      </c>
      <c r="G23" s="35" t="s">
        <v>23</v>
      </c>
      <c r="H23" s="37" t="s">
        <v>24</v>
      </c>
      <c r="I23" s="37" t="s">
        <v>31</v>
      </c>
      <c r="J23" s="37" t="s">
        <v>51</v>
      </c>
      <c r="K23" t="s">
        <v>27</v>
      </c>
    </row>
    <row r="24" spans="1:11" ht="15" customHeight="1" x14ac:dyDescent="0.15">
      <c r="A24" s="31">
        <v>12</v>
      </c>
      <c r="B24" s="32" t="s">
        <v>19</v>
      </c>
      <c r="C24" s="33" t="s">
        <v>52</v>
      </c>
      <c r="D24" s="34" t="s">
        <v>2</v>
      </c>
      <c r="E24" s="33" t="s">
        <v>21</v>
      </c>
      <c r="F24" s="31" t="s">
        <v>22</v>
      </c>
      <c r="G24" s="31" t="s">
        <v>23</v>
      </c>
      <c r="H24" s="33" t="s">
        <v>53</v>
      </c>
      <c r="I24" s="33" t="s">
        <v>25</v>
      </c>
      <c r="J24" s="33" t="s">
        <v>54</v>
      </c>
      <c r="K24" t="s">
        <v>27</v>
      </c>
    </row>
    <row r="25" spans="1:11" ht="15" customHeight="1" x14ac:dyDescent="0.15">
      <c r="A25" s="31">
        <v>13</v>
      </c>
      <c r="B25" s="32" t="s">
        <v>19</v>
      </c>
      <c r="C25" s="33" t="s">
        <v>55</v>
      </c>
      <c r="D25" s="34" t="s">
        <v>2</v>
      </c>
      <c r="E25" s="33" t="s">
        <v>21</v>
      </c>
      <c r="F25" s="31" t="s">
        <v>22</v>
      </c>
      <c r="G25" s="31" t="s">
        <v>23</v>
      </c>
      <c r="H25" s="33" t="s">
        <v>56</v>
      </c>
      <c r="I25" s="33" t="s">
        <v>25</v>
      </c>
      <c r="J25" s="33" t="s">
        <v>57</v>
      </c>
      <c r="K25" t="s">
        <v>27</v>
      </c>
    </row>
    <row r="26" spans="1:11" ht="15" customHeight="1" x14ac:dyDescent="0.15">
      <c r="A26" s="31">
        <v>14</v>
      </c>
      <c r="B26" s="32" t="s">
        <v>19</v>
      </c>
      <c r="C26" s="33" t="s">
        <v>58</v>
      </c>
      <c r="D26" s="34" t="s">
        <v>2</v>
      </c>
      <c r="E26" s="33" t="s">
        <v>21</v>
      </c>
      <c r="F26" s="31" t="s">
        <v>22</v>
      </c>
      <c r="G26" s="31" t="s">
        <v>23</v>
      </c>
      <c r="H26" s="33" t="s">
        <v>59</v>
      </c>
      <c r="I26" s="33" t="s">
        <v>25</v>
      </c>
      <c r="J26" s="33" t="s">
        <v>60</v>
      </c>
      <c r="K26" t="s">
        <v>27</v>
      </c>
    </row>
    <row r="27" spans="1:11" ht="15" customHeight="1" x14ac:dyDescent="0.15">
      <c r="A27" s="35">
        <v>15</v>
      </c>
      <c r="B27" s="36" t="s">
        <v>39</v>
      </c>
      <c r="C27" s="37" t="s">
        <v>61</v>
      </c>
      <c r="D27" s="38" t="s">
        <v>2</v>
      </c>
      <c r="E27" s="37" t="s">
        <v>21</v>
      </c>
      <c r="F27" s="35" t="s">
        <v>22</v>
      </c>
      <c r="G27" s="35" t="s">
        <v>23</v>
      </c>
      <c r="H27" s="37" t="s">
        <v>46</v>
      </c>
      <c r="I27" s="37" t="s">
        <v>31</v>
      </c>
      <c r="J27" s="37" t="s">
        <v>62</v>
      </c>
      <c r="K27" t="s">
        <v>27</v>
      </c>
    </row>
    <row r="28" spans="1:11" ht="15" customHeight="1" x14ac:dyDescent="0.15">
      <c r="A28" s="35">
        <v>16</v>
      </c>
      <c r="B28" s="36" t="s">
        <v>39</v>
      </c>
      <c r="C28" s="37" t="s">
        <v>63</v>
      </c>
      <c r="D28" s="38" t="s">
        <v>2</v>
      </c>
      <c r="E28" s="37" t="s">
        <v>21</v>
      </c>
      <c r="F28" s="35" t="s">
        <v>22</v>
      </c>
      <c r="G28" s="35" t="s">
        <v>23</v>
      </c>
      <c r="H28" s="37" t="s">
        <v>24</v>
      </c>
      <c r="I28" s="37" t="s">
        <v>25</v>
      </c>
      <c r="J28" s="37" t="s">
        <v>64</v>
      </c>
      <c r="K28" t="s">
        <v>27</v>
      </c>
    </row>
    <row r="29" spans="1:11" ht="15" customHeight="1" x14ac:dyDescent="0.15">
      <c r="A29" s="35">
        <v>17</v>
      </c>
      <c r="B29" s="36" t="s">
        <v>39</v>
      </c>
      <c r="C29" s="37" t="s">
        <v>65</v>
      </c>
      <c r="D29" s="38" t="s">
        <v>2</v>
      </c>
      <c r="E29" s="37" t="s">
        <v>21</v>
      </c>
      <c r="F29" s="35" t="s">
        <v>22</v>
      </c>
      <c r="G29" s="35" t="s">
        <v>23</v>
      </c>
      <c r="H29" s="37" t="s">
        <v>24</v>
      </c>
      <c r="I29" s="37" t="s">
        <v>31</v>
      </c>
      <c r="J29" s="37" t="s">
        <v>66</v>
      </c>
      <c r="K29" t="s">
        <v>27</v>
      </c>
    </row>
    <row r="30" spans="1:11" ht="15" customHeight="1" x14ac:dyDescent="0.15">
      <c r="A30" s="35">
        <v>18</v>
      </c>
      <c r="B30" s="36" t="s">
        <v>39</v>
      </c>
      <c r="C30" s="37" t="s">
        <v>67</v>
      </c>
      <c r="D30" s="38" t="s">
        <v>2</v>
      </c>
      <c r="E30" s="37" t="s">
        <v>21</v>
      </c>
      <c r="F30" s="35" t="s">
        <v>22</v>
      </c>
      <c r="G30" s="35" t="s">
        <v>23</v>
      </c>
      <c r="H30" s="37" t="s">
        <v>24</v>
      </c>
      <c r="I30" s="37" t="s">
        <v>31</v>
      </c>
      <c r="J30" s="37" t="s">
        <v>68</v>
      </c>
      <c r="K30" t="s">
        <v>27</v>
      </c>
    </row>
    <row r="31" spans="1:11" ht="15" customHeight="1" x14ac:dyDescent="0.15">
      <c r="A31" s="39">
        <v>19</v>
      </c>
      <c r="B31" s="40" t="s">
        <v>69</v>
      </c>
      <c r="C31" s="41" t="s">
        <v>70</v>
      </c>
      <c r="D31" s="42" t="s">
        <v>2</v>
      </c>
      <c r="E31" s="41" t="s">
        <v>43</v>
      </c>
      <c r="F31" s="39" t="s">
        <v>22</v>
      </c>
      <c r="G31" s="39" t="s">
        <v>23</v>
      </c>
      <c r="H31" s="41" t="s">
        <v>46</v>
      </c>
      <c r="I31" s="41" t="s">
        <v>25</v>
      </c>
      <c r="J31" s="41" t="s">
        <v>71</v>
      </c>
      <c r="K31" t="s">
        <v>27</v>
      </c>
    </row>
    <row r="32" spans="1:11" ht="15" customHeight="1" x14ac:dyDescent="0.15">
      <c r="A32" s="35">
        <v>20</v>
      </c>
      <c r="B32" s="36" t="s">
        <v>39</v>
      </c>
      <c r="C32" s="37" t="s">
        <v>72</v>
      </c>
      <c r="D32" s="38" t="s">
        <v>2</v>
      </c>
      <c r="E32" s="37" t="s">
        <v>21</v>
      </c>
      <c r="F32" s="35" t="s">
        <v>22</v>
      </c>
      <c r="G32" s="35" t="s">
        <v>23</v>
      </c>
      <c r="H32" s="37" t="s">
        <v>24</v>
      </c>
      <c r="I32" s="37" t="s">
        <v>25</v>
      </c>
      <c r="J32" s="37" t="s">
        <v>73</v>
      </c>
      <c r="K32" t="s">
        <v>27</v>
      </c>
    </row>
    <row r="33" spans="1:11" ht="15" customHeight="1" x14ac:dyDescent="0.15">
      <c r="A33" s="31">
        <v>21</v>
      </c>
      <c r="B33" s="32" t="s">
        <v>19</v>
      </c>
      <c r="C33" s="33" t="s">
        <v>74</v>
      </c>
      <c r="D33" s="34" t="s">
        <v>2</v>
      </c>
      <c r="E33" s="33" t="s">
        <v>75</v>
      </c>
      <c r="F33" s="31" t="s">
        <v>22</v>
      </c>
      <c r="G33" s="31" t="s">
        <v>23</v>
      </c>
      <c r="H33" s="33" t="s">
        <v>46</v>
      </c>
      <c r="I33" s="33" t="s">
        <v>76</v>
      </c>
      <c r="J33" s="33" t="s">
        <v>77</v>
      </c>
      <c r="K33" t="s">
        <v>27</v>
      </c>
    </row>
    <row r="34" spans="1:11" ht="15" customHeight="1" x14ac:dyDescent="0.15">
      <c r="A34" s="31">
        <v>22</v>
      </c>
      <c r="B34" s="32" t="s">
        <v>19</v>
      </c>
      <c r="C34" s="33" t="s">
        <v>78</v>
      </c>
      <c r="D34" s="34" t="s">
        <v>2</v>
      </c>
      <c r="E34" s="33" t="s">
        <v>75</v>
      </c>
      <c r="F34" s="31" t="s">
        <v>22</v>
      </c>
      <c r="G34" s="31" t="s">
        <v>23</v>
      </c>
      <c r="H34" s="33" t="s">
        <v>46</v>
      </c>
      <c r="I34" s="33" t="s">
        <v>76</v>
      </c>
      <c r="J34" s="33" t="s">
        <v>79</v>
      </c>
      <c r="K34" t="s">
        <v>27</v>
      </c>
    </row>
    <row r="35" spans="1:11" ht="15" customHeight="1" x14ac:dyDescent="0.15">
      <c r="A35" s="31">
        <v>23</v>
      </c>
      <c r="B35" s="32" t="s">
        <v>19</v>
      </c>
      <c r="C35" s="33" t="s">
        <v>80</v>
      </c>
      <c r="D35" s="34" t="s">
        <v>2</v>
      </c>
      <c r="E35" s="33" t="s">
        <v>75</v>
      </c>
      <c r="F35" s="31" t="s">
        <v>22</v>
      </c>
      <c r="G35" s="31" t="s">
        <v>23</v>
      </c>
      <c r="H35" s="33" t="s">
        <v>46</v>
      </c>
      <c r="I35" s="33" t="s">
        <v>31</v>
      </c>
      <c r="J35" s="33" t="s">
        <v>81</v>
      </c>
      <c r="K35" t="s">
        <v>27</v>
      </c>
    </row>
    <row r="36" spans="1:11" ht="15" customHeight="1" x14ac:dyDescent="0.15">
      <c r="A36" s="35">
        <v>24</v>
      </c>
      <c r="B36" s="36" t="s">
        <v>39</v>
      </c>
      <c r="C36" s="37" t="s">
        <v>82</v>
      </c>
      <c r="D36" s="38" t="s">
        <v>2</v>
      </c>
      <c r="E36" s="37" t="s">
        <v>43</v>
      </c>
      <c r="F36" s="35" t="s">
        <v>22</v>
      </c>
      <c r="G36" s="35" t="s">
        <v>23</v>
      </c>
      <c r="H36" s="37" t="s">
        <v>46</v>
      </c>
      <c r="I36" s="37" t="s">
        <v>25</v>
      </c>
      <c r="J36" s="37" t="s">
        <v>83</v>
      </c>
      <c r="K36" t="s">
        <v>27</v>
      </c>
    </row>
    <row r="37" spans="1:11" ht="15" customHeight="1" x14ac:dyDescent="0.15">
      <c r="A37" s="35">
        <v>25</v>
      </c>
      <c r="B37" s="36" t="s">
        <v>39</v>
      </c>
      <c r="C37" s="37" t="s">
        <v>84</v>
      </c>
      <c r="D37" s="38" t="s">
        <v>2</v>
      </c>
      <c r="E37" s="37" t="s">
        <v>75</v>
      </c>
      <c r="F37" s="35" t="s">
        <v>22</v>
      </c>
      <c r="G37" s="35" t="s">
        <v>23</v>
      </c>
      <c r="H37" s="37" t="s">
        <v>46</v>
      </c>
      <c r="I37" s="37" t="s">
        <v>76</v>
      </c>
      <c r="J37" s="37" t="s">
        <v>85</v>
      </c>
      <c r="K37" t="s">
        <v>27</v>
      </c>
    </row>
    <row r="38" spans="1:11" ht="15" customHeight="1" x14ac:dyDescent="0.15">
      <c r="A38" s="35">
        <v>26</v>
      </c>
      <c r="B38" s="36" t="s">
        <v>39</v>
      </c>
      <c r="C38" s="37" t="s">
        <v>86</v>
      </c>
      <c r="D38" s="38" t="s">
        <v>2</v>
      </c>
      <c r="E38" s="37" t="s">
        <v>75</v>
      </c>
      <c r="F38" s="35" t="s">
        <v>22</v>
      </c>
      <c r="G38" s="35" t="s">
        <v>23</v>
      </c>
      <c r="H38" s="37" t="s">
        <v>46</v>
      </c>
      <c r="I38" s="37" t="s">
        <v>76</v>
      </c>
      <c r="J38" s="37" t="s">
        <v>87</v>
      </c>
      <c r="K38" t="s">
        <v>27</v>
      </c>
    </row>
    <row r="39" spans="1:11" ht="15" customHeight="1" x14ac:dyDescent="0.15">
      <c r="A39" s="35">
        <v>27</v>
      </c>
      <c r="B39" s="36" t="s">
        <v>39</v>
      </c>
      <c r="C39" s="37" t="s">
        <v>88</v>
      </c>
      <c r="D39" s="38" t="s">
        <v>2</v>
      </c>
      <c r="E39" s="37" t="s">
        <v>89</v>
      </c>
      <c r="F39" s="35" t="s">
        <v>22</v>
      </c>
      <c r="G39" s="35" t="s">
        <v>23</v>
      </c>
      <c r="H39" s="37" t="s">
        <v>90</v>
      </c>
      <c r="I39" s="37" t="s">
        <v>91</v>
      </c>
      <c r="J39" s="37" t="s">
        <v>92</v>
      </c>
      <c r="K39" t="s">
        <v>27</v>
      </c>
    </row>
    <row r="40" spans="1:11" ht="15" customHeight="1" x14ac:dyDescent="0.15">
      <c r="A40" s="39">
        <v>28</v>
      </c>
      <c r="B40" s="40" t="s">
        <v>69</v>
      </c>
      <c r="C40" s="41" t="s">
        <v>93</v>
      </c>
      <c r="D40" s="42" t="s">
        <v>2</v>
      </c>
      <c r="E40" s="41" t="s">
        <v>89</v>
      </c>
      <c r="F40" s="39" t="s">
        <v>22</v>
      </c>
      <c r="G40" s="39" t="s">
        <v>23</v>
      </c>
      <c r="H40" s="41" t="s">
        <v>94</v>
      </c>
      <c r="I40" s="41" t="s">
        <v>91</v>
      </c>
      <c r="J40" s="41" t="s">
        <v>95</v>
      </c>
      <c r="K40" t="s">
        <v>27</v>
      </c>
    </row>
    <row r="41" spans="1:11" ht="15" customHeight="1" x14ac:dyDescent="0.15">
      <c r="A41" s="39">
        <v>29</v>
      </c>
      <c r="B41" s="40" t="s">
        <v>69</v>
      </c>
      <c r="C41" s="41" t="s">
        <v>96</v>
      </c>
      <c r="D41" s="42" t="s">
        <v>2</v>
      </c>
      <c r="E41" s="41" t="s">
        <v>89</v>
      </c>
      <c r="F41" s="39" t="s">
        <v>22</v>
      </c>
      <c r="G41" s="39" t="s">
        <v>23</v>
      </c>
      <c r="H41" s="41" t="s">
        <v>90</v>
      </c>
      <c r="I41" s="41" t="s">
        <v>91</v>
      </c>
      <c r="J41" s="41" t="s">
        <v>97</v>
      </c>
      <c r="K41" t="s">
        <v>27</v>
      </c>
    </row>
    <row r="42" spans="1:11" ht="15" customHeight="1" x14ac:dyDescent="0.15">
      <c r="A42" s="39">
        <v>30</v>
      </c>
      <c r="B42" s="40" t="s">
        <v>69</v>
      </c>
      <c r="C42" s="41" t="s">
        <v>98</v>
      </c>
      <c r="D42" s="42" t="s">
        <v>2</v>
      </c>
      <c r="E42" s="41" t="s">
        <v>89</v>
      </c>
      <c r="F42" s="39" t="s">
        <v>22</v>
      </c>
      <c r="G42" s="39" t="s">
        <v>23</v>
      </c>
      <c r="H42" s="41" t="s">
        <v>90</v>
      </c>
      <c r="I42" s="41" t="s">
        <v>99</v>
      </c>
      <c r="J42" s="41" t="s">
        <v>100</v>
      </c>
      <c r="K42" t="s">
        <v>27</v>
      </c>
    </row>
    <row r="43" spans="1:11" ht="15" customHeight="1" x14ac:dyDescent="0.15">
      <c r="A43" s="39">
        <v>31</v>
      </c>
      <c r="B43" s="40" t="s">
        <v>69</v>
      </c>
      <c r="C43" s="41" t="s">
        <v>101</v>
      </c>
      <c r="D43" s="42" t="s">
        <v>2</v>
      </c>
      <c r="E43" s="41" t="s">
        <v>89</v>
      </c>
      <c r="F43" s="39" t="s">
        <v>22</v>
      </c>
      <c r="G43" s="39" t="s">
        <v>23</v>
      </c>
      <c r="H43" s="41" t="s">
        <v>90</v>
      </c>
      <c r="I43" s="41" t="s">
        <v>99</v>
      </c>
      <c r="J43" s="41" t="s">
        <v>102</v>
      </c>
      <c r="K43" t="s">
        <v>27</v>
      </c>
    </row>
    <row r="44" spans="1:11" ht="15" customHeight="1" x14ac:dyDescent="0.15">
      <c r="A44" s="31">
        <v>32</v>
      </c>
      <c r="B44" s="32" t="s">
        <v>19</v>
      </c>
      <c r="C44" s="33" t="s">
        <v>103</v>
      </c>
      <c r="D44" s="34" t="s">
        <v>2</v>
      </c>
      <c r="E44" s="33" t="s">
        <v>21</v>
      </c>
      <c r="F44" s="31" t="s">
        <v>22</v>
      </c>
      <c r="G44" s="31" t="s">
        <v>23</v>
      </c>
      <c r="H44" s="33" t="s">
        <v>24</v>
      </c>
      <c r="I44" s="33" t="s">
        <v>25</v>
      </c>
      <c r="J44" s="33" t="s">
        <v>104</v>
      </c>
      <c r="K44" t="s">
        <v>27</v>
      </c>
    </row>
    <row r="45" spans="1:11" ht="15" customHeight="1" x14ac:dyDescent="0.15">
      <c r="A45" s="31">
        <v>33</v>
      </c>
      <c r="B45" s="32" t="s">
        <v>19</v>
      </c>
      <c r="C45" s="33" t="s">
        <v>105</v>
      </c>
      <c r="D45" s="34" t="s">
        <v>2</v>
      </c>
      <c r="E45" s="33" t="s">
        <v>21</v>
      </c>
      <c r="F45" s="31" t="s">
        <v>22</v>
      </c>
      <c r="G45" s="31" t="s">
        <v>23</v>
      </c>
      <c r="H45" s="33" t="s">
        <v>24</v>
      </c>
      <c r="I45" s="33" t="s">
        <v>76</v>
      </c>
      <c r="J45" s="33" t="s">
        <v>106</v>
      </c>
      <c r="K45" t="s">
        <v>27</v>
      </c>
    </row>
    <row r="46" spans="1:11" ht="15" customHeight="1" x14ac:dyDescent="0.15">
      <c r="A46" s="31">
        <v>34</v>
      </c>
      <c r="B46" s="32" t="s">
        <v>19</v>
      </c>
      <c r="C46" s="33" t="s">
        <v>107</v>
      </c>
      <c r="D46" s="34" t="s">
        <v>2</v>
      </c>
      <c r="E46" s="33" t="s">
        <v>21</v>
      </c>
      <c r="F46" s="31" t="s">
        <v>22</v>
      </c>
      <c r="G46" s="31" t="s">
        <v>23</v>
      </c>
      <c r="H46" s="33" t="s">
        <v>24</v>
      </c>
      <c r="I46" s="33" t="s">
        <v>76</v>
      </c>
      <c r="J46" s="33" t="s">
        <v>108</v>
      </c>
      <c r="K46" t="s">
        <v>27</v>
      </c>
    </row>
    <row r="47" spans="1:11" ht="15" customHeight="1" x14ac:dyDescent="0.15">
      <c r="A47" s="35">
        <v>35</v>
      </c>
      <c r="B47" s="36" t="s">
        <v>39</v>
      </c>
      <c r="C47" s="37" t="s">
        <v>109</v>
      </c>
      <c r="D47" s="38" t="s">
        <v>2</v>
      </c>
      <c r="E47" s="37" t="s">
        <v>21</v>
      </c>
      <c r="F47" s="35" t="s">
        <v>22</v>
      </c>
      <c r="G47" s="35" t="s">
        <v>23</v>
      </c>
      <c r="H47" s="37" t="s">
        <v>24</v>
      </c>
      <c r="I47" s="37" t="s">
        <v>31</v>
      </c>
      <c r="J47" s="37" t="s">
        <v>110</v>
      </c>
      <c r="K47" t="s">
        <v>27</v>
      </c>
    </row>
    <row r="48" spans="1:11" ht="15" customHeight="1" x14ac:dyDescent="0.15">
      <c r="A48" s="35">
        <v>36</v>
      </c>
      <c r="B48" s="36" t="s">
        <v>39</v>
      </c>
      <c r="C48" s="37" t="s">
        <v>111</v>
      </c>
      <c r="D48" s="38" t="s">
        <v>2</v>
      </c>
      <c r="E48" s="37" t="s">
        <v>21</v>
      </c>
      <c r="F48" s="35" t="s">
        <v>22</v>
      </c>
      <c r="G48" s="35" t="s">
        <v>23</v>
      </c>
      <c r="H48" s="37" t="s">
        <v>24</v>
      </c>
      <c r="I48" s="37" t="s">
        <v>25</v>
      </c>
      <c r="J48" s="37" t="s">
        <v>112</v>
      </c>
      <c r="K48" t="s">
        <v>27</v>
      </c>
    </row>
    <row r="49" spans="1:11" ht="15" customHeight="1" x14ac:dyDescent="0.15">
      <c r="A49" s="35">
        <v>37</v>
      </c>
      <c r="B49" s="36" t="s">
        <v>39</v>
      </c>
      <c r="C49" s="37" t="s">
        <v>113</v>
      </c>
      <c r="D49" s="38" t="s">
        <v>2</v>
      </c>
      <c r="E49" s="37" t="s">
        <v>43</v>
      </c>
      <c r="F49" s="35" t="s">
        <v>22</v>
      </c>
      <c r="G49" s="35" t="s">
        <v>23</v>
      </c>
      <c r="H49" s="37" t="s">
        <v>46</v>
      </c>
      <c r="I49" s="37" t="s">
        <v>25</v>
      </c>
      <c r="J49" s="37" t="s">
        <v>114</v>
      </c>
      <c r="K49" t="s">
        <v>27</v>
      </c>
    </row>
    <row r="50" spans="1:11" ht="15" customHeight="1" x14ac:dyDescent="0.15">
      <c r="A50" s="35">
        <v>38</v>
      </c>
      <c r="B50" s="36" t="s">
        <v>39</v>
      </c>
      <c r="C50" s="37" t="s">
        <v>115</v>
      </c>
      <c r="D50" s="38" t="s">
        <v>2</v>
      </c>
      <c r="E50" s="37" t="s">
        <v>21</v>
      </c>
      <c r="F50" s="35" t="s">
        <v>22</v>
      </c>
      <c r="G50" s="35" t="s">
        <v>23</v>
      </c>
      <c r="H50" s="37" t="s">
        <v>24</v>
      </c>
      <c r="I50" s="37" t="s">
        <v>31</v>
      </c>
      <c r="J50" s="37" t="s">
        <v>116</v>
      </c>
      <c r="K50" t="s">
        <v>27</v>
      </c>
    </row>
    <row r="51" spans="1:11" ht="15" customHeight="1" x14ac:dyDescent="0.15">
      <c r="A51" s="39">
        <v>39</v>
      </c>
      <c r="B51" s="40" t="s">
        <v>69</v>
      </c>
      <c r="C51" s="41" t="s">
        <v>117</v>
      </c>
      <c r="D51" s="42" t="s">
        <v>2</v>
      </c>
      <c r="E51" s="41" t="s">
        <v>21</v>
      </c>
      <c r="F51" s="39" t="s">
        <v>22</v>
      </c>
      <c r="G51" s="39" t="s">
        <v>23</v>
      </c>
      <c r="H51" s="41" t="s">
        <v>56</v>
      </c>
      <c r="I51" s="41" t="s">
        <v>25</v>
      </c>
      <c r="J51" s="41" t="s">
        <v>118</v>
      </c>
      <c r="K51" t="s">
        <v>27</v>
      </c>
    </row>
    <row r="52" spans="1:11" ht="15" customHeight="1" x14ac:dyDescent="0.15">
      <c r="A52" s="31">
        <v>40</v>
      </c>
      <c r="B52" s="32" t="s">
        <v>19</v>
      </c>
      <c r="C52" s="33" t="s">
        <v>119</v>
      </c>
      <c r="D52" s="34" t="s">
        <v>2</v>
      </c>
      <c r="E52" s="33" t="s">
        <v>120</v>
      </c>
      <c r="F52" s="31" t="s">
        <v>22</v>
      </c>
      <c r="G52" s="31" t="s">
        <v>23</v>
      </c>
      <c r="H52" s="33" t="s">
        <v>90</v>
      </c>
      <c r="I52" s="33" t="s">
        <v>121</v>
      </c>
      <c r="J52" s="33" t="s">
        <v>122</v>
      </c>
      <c r="K52" t="s">
        <v>27</v>
      </c>
    </row>
    <row r="53" spans="1:11" ht="15" customHeight="1" x14ac:dyDescent="0.15">
      <c r="A53" s="31">
        <v>41</v>
      </c>
      <c r="B53" s="32" t="s">
        <v>19</v>
      </c>
      <c r="C53" s="33" t="s">
        <v>123</v>
      </c>
      <c r="D53" s="34" t="s">
        <v>2</v>
      </c>
      <c r="E53" s="33" t="s">
        <v>120</v>
      </c>
      <c r="F53" s="31" t="s">
        <v>22</v>
      </c>
      <c r="G53" s="31" t="s">
        <v>23</v>
      </c>
      <c r="H53" s="33" t="s">
        <v>94</v>
      </c>
      <c r="I53" s="33" t="s">
        <v>121</v>
      </c>
      <c r="J53" s="33" t="s">
        <v>124</v>
      </c>
      <c r="K53" t="s">
        <v>27</v>
      </c>
    </row>
    <row r="54" spans="1:11" ht="15" customHeight="1" x14ac:dyDescent="0.15">
      <c r="A54" s="35">
        <v>42</v>
      </c>
      <c r="B54" s="36" t="s">
        <v>39</v>
      </c>
      <c r="C54" s="37" t="s">
        <v>125</v>
      </c>
      <c r="D54" s="38" t="s">
        <v>2</v>
      </c>
      <c r="E54" s="37" t="s">
        <v>21</v>
      </c>
      <c r="F54" s="35" t="s">
        <v>22</v>
      </c>
      <c r="G54" s="35" t="s">
        <v>23</v>
      </c>
      <c r="H54" s="37" t="s">
        <v>24</v>
      </c>
      <c r="I54" s="37" t="s">
        <v>91</v>
      </c>
      <c r="J54" s="37" t="s">
        <v>126</v>
      </c>
      <c r="K54" t="s">
        <v>27</v>
      </c>
    </row>
    <row r="55" spans="1:11" ht="15" customHeight="1" x14ac:dyDescent="0.15">
      <c r="A55" s="35">
        <v>43</v>
      </c>
      <c r="B55" s="36" t="s">
        <v>39</v>
      </c>
      <c r="C55" s="37" t="s">
        <v>127</v>
      </c>
      <c r="D55" s="38" t="s">
        <v>2</v>
      </c>
      <c r="E55" s="37" t="s">
        <v>75</v>
      </c>
      <c r="F55" s="35" t="s">
        <v>22</v>
      </c>
      <c r="G55" s="35" t="s">
        <v>23</v>
      </c>
      <c r="H55" s="37" t="s">
        <v>46</v>
      </c>
      <c r="I55" s="37" t="s">
        <v>76</v>
      </c>
      <c r="J55" s="37" t="s">
        <v>128</v>
      </c>
      <c r="K55" t="s">
        <v>27</v>
      </c>
    </row>
    <row r="56" spans="1:11" ht="15" customHeight="1" x14ac:dyDescent="0.15">
      <c r="A56" s="39">
        <v>44</v>
      </c>
      <c r="B56" s="40" t="s">
        <v>69</v>
      </c>
      <c r="C56" s="41" t="s">
        <v>129</v>
      </c>
      <c r="D56" s="42" t="s">
        <v>2</v>
      </c>
      <c r="E56" s="41" t="s">
        <v>43</v>
      </c>
      <c r="F56" s="39" t="s">
        <v>22</v>
      </c>
      <c r="G56" s="39" t="s">
        <v>23</v>
      </c>
      <c r="H56" s="41" t="s">
        <v>46</v>
      </c>
      <c r="I56" s="41" t="s">
        <v>25</v>
      </c>
      <c r="J56" s="41" t="s">
        <v>130</v>
      </c>
      <c r="K56" t="s">
        <v>27</v>
      </c>
    </row>
    <row r="57" spans="1:11" ht="15" customHeight="1" x14ac:dyDescent="0.15">
      <c r="A57" s="31">
        <v>45</v>
      </c>
      <c r="B57" s="32" t="s">
        <v>19</v>
      </c>
      <c r="C57" s="33" t="s">
        <v>131</v>
      </c>
      <c r="D57" s="34" t="s">
        <v>2</v>
      </c>
      <c r="E57" s="33" t="s">
        <v>21</v>
      </c>
      <c r="F57" s="31" t="s">
        <v>22</v>
      </c>
      <c r="G57" s="31" t="s">
        <v>23</v>
      </c>
      <c r="H57" s="33" t="s">
        <v>132</v>
      </c>
      <c r="I57" s="33" t="s">
        <v>25</v>
      </c>
      <c r="J57" s="33" t="s">
        <v>133</v>
      </c>
      <c r="K57" t="s">
        <v>27</v>
      </c>
    </row>
    <row r="58" spans="1:11" ht="15" customHeight="1" x14ac:dyDescent="0.15">
      <c r="A58" s="31">
        <v>46</v>
      </c>
      <c r="B58" s="32" t="s">
        <v>19</v>
      </c>
      <c r="C58" s="33" t="s">
        <v>134</v>
      </c>
      <c r="D58" s="34" t="s">
        <v>2</v>
      </c>
      <c r="E58" s="33" t="s">
        <v>21</v>
      </c>
      <c r="F58" s="31" t="s">
        <v>22</v>
      </c>
      <c r="G58" s="31" t="s">
        <v>23</v>
      </c>
      <c r="H58" s="33" t="s">
        <v>132</v>
      </c>
      <c r="I58" s="33" t="s">
        <v>31</v>
      </c>
      <c r="J58" s="33" t="s">
        <v>135</v>
      </c>
      <c r="K58" t="s">
        <v>27</v>
      </c>
    </row>
    <row r="59" spans="1:11" ht="15" customHeight="1" x14ac:dyDescent="0.15">
      <c r="A59" s="31">
        <v>47</v>
      </c>
      <c r="B59" s="32" t="s">
        <v>19</v>
      </c>
      <c r="C59" s="33" t="s">
        <v>136</v>
      </c>
      <c r="D59" s="34" t="s">
        <v>2</v>
      </c>
      <c r="E59" s="33" t="s">
        <v>21</v>
      </c>
      <c r="F59" s="31" t="s">
        <v>22</v>
      </c>
      <c r="G59" s="31" t="s">
        <v>23</v>
      </c>
      <c r="H59" s="33" t="s">
        <v>132</v>
      </c>
      <c r="I59" s="33" t="s">
        <v>31</v>
      </c>
      <c r="J59" s="33" t="s">
        <v>137</v>
      </c>
      <c r="K59" t="s">
        <v>27</v>
      </c>
    </row>
    <row r="60" spans="1:11" ht="15" customHeight="1" x14ac:dyDescent="0.15">
      <c r="A60" s="35">
        <v>48</v>
      </c>
      <c r="B60" s="36" t="s">
        <v>39</v>
      </c>
      <c r="C60" s="37" t="s">
        <v>138</v>
      </c>
      <c r="D60" s="38" t="s">
        <v>2</v>
      </c>
      <c r="E60" s="37" t="s">
        <v>21</v>
      </c>
      <c r="F60" s="35" t="s">
        <v>22</v>
      </c>
      <c r="G60" s="35" t="s">
        <v>23</v>
      </c>
      <c r="H60" s="37" t="s">
        <v>132</v>
      </c>
      <c r="I60" s="37" t="s">
        <v>139</v>
      </c>
      <c r="J60" s="37" t="s">
        <v>140</v>
      </c>
      <c r="K60" t="s">
        <v>27</v>
      </c>
    </row>
    <row r="61" spans="1:11" ht="15" customHeight="1" x14ac:dyDescent="0.15">
      <c r="A61" s="35">
        <v>49</v>
      </c>
      <c r="B61" s="36" t="s">
        <v>39</v>
      </c>
      <c r="C61" s="37" t="s">
        <v>141</v>
      </c>
      <c r="D61" s="38" t="s">
        <v>2</v>
      </c>
      <c r="E61" s="37" t="s">
        <v>75</v>
      </c>
      <c r="F61" s="35" t="s">
        <v>22</v>
      </c>
      <c r="G61" s="35" t="s">
        <v>23</v>
      </c>
      <c r="H61" s="37" t="s">
        <v>142</v>
      </c>
      <c r="I61" s="37" t="s">
        <v>76</v>
      </c>
      <c r="J61" s="37" t="s">
        <v>143</v>
      </c>
      <c r="K61" t="s">
        <v>27</v>
      </c>
    </row>
    <row r="62" spans="1:11" ht="15" customHeight="1" x14ac:dyDescent="0.15">
      <c r="A62" s="35">
        <v>50</v>
      </c>
      <c r="B62" s="36" t="s">
        <v>39</v>
      </c>
      <c r="C62" s="37" t="s">
        <v>144</v>
      </c>
      <c r="D62" s="38" t="s">
        <v>2</v>
      </c>
      <c r="E62" s="37" t="s">
        <v>21</v>
      </c>
      <c r="F62" s="35" t="s">
        <v>22</v>
      </c>
      <c r="G62" s="35" t="s">
        <v>23</v>
      </c>
      <c r="H62" s="37" t="s">
        <v>132</v>
      </c>
      <c r="I62" s="37" t="s">
        <v>91</v>
      </c>
      <c r="J62" s="37" t="s">
        <v>145</v>
      </c>
      <c r="K62" t="s">
        <v>27</v>
      </c>
    </row>
    <row r="63" spans="1:11" ht="15" customHeight="1" x14ac:dyDescent="0.15">
      <c r="A63" s="35">
        <v>51</v>
      </c>
      <c r="B63" s="36" t="s">
        <v>39</v>
      </c>
      <c r="C63" s="37" t="s">
        <v>146</v>
      </c>
      <c r="D63" s="38" t="s">
        <v>2</v>
      </c>
      <c r="E63" s="37" t="s">
        <v>89</v>
      </c>
      <c r="F63" s="35" t="s">
        <v>22</v>
      </c>
      <c r="G63" s="35" t="s">
        <v>147</v>
      </c>
      <c r="H63" s="37" t="s">
        <v>148</v>
      </c>
      <c r="I63" s="37" t="s">
        <v>31</v>
      </c>
      <c r="J63" s="37" t="s">
        <v>149</v>
      </c>
      <c r="K63" t="s">
        <v>27</v>
      </c>
    </row>
    <row r="64" spans="1:11" ht="15" customHeight="1" x14ac:dyDescent="0.15">
      <c r="A64" s="39">
        <v>52</v>
      </c>
      <c r="B64" s="40" t="s">
        <v>69</v>
      </c>
      <c r="C64" s="41" t="s">
        <v>150</v>
      </c>
      <c r="D64" s="42" t="s">
        <v>2</v>
      </c>
      <c r="E64" s="41" t="s">
        <v>120</v>
      </c>
      <c r="F64" s="39" t="s">
        <v>22</v>
      </c>
      <c r="G64" s="39" t="s">
        <v>147</v>
      </c>
      <c r="H64" s="41" t="s">
        <v>148</v>
      </c>
      <c r="I64" s="41" t="s">
        <v>91</v>
      </c>
      <c r="J64" s="41" t="s">
        <v>151</v>
      </c>
      <c r="K64" t="s">
        <v>27</v>
      </c>
    </row>
    <row r="65" spans="1:11" ht="15" customHeight="1" x14ac:dyDescent="0.15">
      <c r="A65" s="31">
        <v>53</v>
      </c>
      <c r="B65" s="32" t="s">
        <v>19</v>
      </c>
      <c r="C65" s="33" t="s">
        <v>152</v>
      </c>
      <c r="D65" s="34" t="s">
        <v>2</v>
      </c>
      <c r="E65" s="33" t="s">
        <v>21</v>
      </c>
      <c r="F65" s="31" t="s">
        <v>22</v>
      </c>
      <c r="G65" s="31" t="s">
        <v>23</v>
      </c>
      <c r="H65" s="33" t="s">
        <v>153</v>
      </c>
      <c r="I65" s="33" t="s">
        <v>25</v>
      </c>
      <c r="J65" s="33" t="s">
        <v>154</v>
      </c>
      <c r="K65" t="s">
        <v>27</v>
      </c>
    </row>
    <row r="66" spans="1:11" ht="15" customHeight="1" x14ac:dyDescent="0.15">
      <c r="A66" s="31">
        <v>54</v>
      </c>
      <c r="B66" s="32" t="s">
        <v>19</v>
      </c>
      <c r="C66" s="33" t="s">
        <v>155</v>
      </c>
      <c r="D66" s="34" t="s">
        <v>2</v>
      </c>
      <c r="E66" s="33" t="s">
        <v>21</v>
      </c>
      <c r="F66" s="31" t="s">
        <v>22</v>
      </c>
      <c r="G66" s="31" t="s">
        <v>23</v>
      </c>
      <c r="H66" s="33" t="s">
        <v>156</v>
      </c>
      <c r="I66" s="33" t="s">
        <v>76</v>
      </c>
      <c r="J66" s="33" t="s">
        <v>157</v>
      </c>
      <c r="K66" t="s">
        <v>27</v>
      </c>
    </row>
    <row r="67" spans="1:11" ht="15" customHeight="1" x14ac:dyDescent="0.15">
      <c r="A67" s="31">
        <v>55</v>
      </c>
      <c r="B67" s="32" t="s">
        <v>19</v>
      </c>
      <c r="C67" s="33" t="s">
        <v>158</v>
      </c>
      <c r="D67" s="34" t="s">
        <v>2</v>
      </c>
      <c r="E67" s="33" t="s">
        <v>21</v>
      </c>
      <c r="F67" s="31" t="s">
        <v>22</v>
      </c>
      <c r="G67" s="31" t="s">
        <v>23</v>
      </c>
      <c r="H67" s="33" t="s">
        <v>156</v>
      </c>
      <c r="I67" s="33" t="s">
        <v>76</v>
      </c>
      <c r="J67" s="33" t="s">
        <v>159</v>
      </c>
      <c r="K67" t="s">
        <v>27</v>
      </c>
    </row>
    <row r="68" spans="1:11" ht="15" customHeight="1" x14ac:dyDescent="0.15">
      <c r="A68" s="35">
        <v>56</v>
      </c>
      <c r="B68" s="36" t="s">
        <v>39</v>
      </c>
      <c r="C68" s="37" t="s">
        <v>160</v>
      </c>
      <c r="D68" s="38" t="s">
        <v>2</v>
      </c>
      <c r="E68" s="37" t="s">
        <v>21</v>
      </c>
      <c r="F68" s="35" t="s">
        <v>22</v>
      </c>
      <c r="G68" s="35" t="s">
        <v>23</v>
      </c>
      <c r="H68" s="37" t="s">
        <v>156</v>
      </c>
      <c r="I68" s="37" t="s">
        <v>139</v>
      </c>
      <c r="J68" s="37" t="s">
        <v>161</v>
      </c>
      <c r="K68" t="s">
        <v>27</v>
      </c>
    </row>
    <row r="69" spans="1:11" ht="15" customHeight="1" x14ac:dyDescent="0.15">
      <c r="A69" s="35">
        <v>57</v>
      </c>
      <c r="B69" s="36" t="s">
        <v>39</v>
      </c>
      <c r="C69" s="37" t="s">
        <v>162</v>
      </c>
      <c r="D69" s="38" t="s">
        <v>2</v>
      </c>
      <c r="E69" s="37" t="s">
        <v>21</v>
      </c>
      <c r="F69" s="35" t="s">
        <v>22</v>
      </c>
      <c r="G69" s="35" t="s">
        <v>23</v>
      </c>
      <c r="H69" s="37" t="s">
        <v>156</v>
      </c>
      <c r="I69" s="37" t="s">
        <v>25</v>
      </c>
      <c r="J69" s="37" t="s">
        <v>163</v>
      </c>
      <c r="K69" t="s">
        <v>27</v>
      </c>
    </row>
    <row r="70" spans="1:11" ht="15" customHeight="1" x14ac:dyDescent="0.15">
      <c r="A70" s="35">
        <v>58</v>
      </c>
      <c r="B70" s="36" t="s">
        <v>39</v>
      </c>
      <c r="C70" s="37" t="s">
        <v>164</v>
      </c>
      <c r="D70" s="38" t="s">
        <v>2</v>
      </c>
      <c r="E70" s="37" t="s">
        <v>21</v>
      </c>
      <c r="F70" s="35" t="s">
        <v>22</v>
      </c>
      <c r="G70" s="35" t="s">
        <v>23</v>
      </c>
      <c r="H70" s="37" t="s">
        <v>153</v>
      </c>
      <c r="I70" s="37" t="s">
        <v>31</v>
      </c>
      <c r="J70" s="37" t="s">
        <v>165</v>
      </c>
      <c r="K70" t="s">
        <v>27</v>
      </c>
    </row>
    <row r="71" spans="1:11" ht="15" customHeight="1" x14ac:dyDescent="0.15">
      <c r="A71" s="39">
        <v>59</v>
      </c>
      <c r="B71" s="40" t="s">
        <v>69</v>
      </c>
      <c r="C71" s="41" t="s">
        <v>166</v>
      </c>
      <c r="D71" s="42" t="s">
        <v>2</v>
      </c>
      <c r="E71" s="41" t="s">
        <v>75</v>
      </c>
      <c r="F71" s="39" t="s">
        <v>22</v>
      </c>
      <c r="G71" s="39" t="s">
        <v>23</v>
      </c>
      <c r="H71" s="41" t="s">
        <v>167</v>
      </c>
      <c r="I71" s="41" t="s">
        <v>76</v>
      </c>
      <c r="J71" s="41" t="s">
        <v>168</v>
      </c>
      <c r="K71" t="s">
        <v>27</v>
      </c>
    </row>
    <row r="72" spans="1:11" ht="15" customHeight="1" x14ac:dyDescent="0.15">
      <c r="A72" s="35">
        <v>60</v>
      </c>
      <c r="B72" s="36" t="s">
        <v>39</v>
      </c>
      <c r="C72" s="37" t="s">
        <v>169</v>
      </c>
      <c r="D72" s="38" t="s">
        <v>2</v>
      </c>
      <c r="E72" s="37" t="s">
        <v>21</v>
      </c>
      <c r="F72" s="35" t="s">
        <v>22</v>
      </c>
      <c r="G72" s="35" t="s">
        <v>23</v>
      </c>
      <c r="H72" s="37" t="s">
        <v>170</v>
      </c>
      <c r="I72" s="37" t="s">
        <v>25</v>
      </c>
      <c r="J72" s="37" t="s">
        <v>171</v>
      </c>
      <c r="K72" t="s">
        <v>27</v>
      </c>
    </row>
    <row r="73" spans="1:11" ht="15" customHeight="1" x14ac:dyDescent="0.15">
      <c r="A73" s="35">
        <v>61</v>
      </c>
      <c r="B73" s="36" t="s">
        <v>39</v>
      </c>
      <c r="C73" s="37" t="s">
        <v>172</v>
      </c>
      <c r="D73" s="38" t="s">
        <v>2</v>
      </c>
      <c r="E73" s="37" t="s">
        <v>21</v>
      </c>
      <c r="F73" s="35" t="s">
        <v>22</v>
      </c>
      <c r="G73" s="35" t="s">
        <v>23</v>
      </c>
      <c r="H73" s="37" t="s">
        <v>170</v>
      </c>
      <c r="I73" s="37" t="s">
        <v>31</v>
      </c>
      <c r="J73" s="37" t="s">
        <v>173</v>
      </c>
      <c r="K73" t="s">
        <v>27</v>
      </c>
    </row>
    <row r="74" spans="1:11" ht="15" customHeight="1" x14ac:dyDescent="0.15">
      <c r="A74" s="35">
        <v>62</v>
      </c>
      <c r="B74" s="36" t="s">
        <v>39</v>
      </c>
      <c r="C74" s="37" t="s">
        <v>174</v>
      </c>
      <c r="D74" s="38" t="s">
        <v>2</v>
      </c>
      <c r="E74" s="37" t="s">
        <v>21</v>
      </c>
      <c r="F74" s="35" t="s">
        <v>22</v>
      </c>
      <c r="G74" s="35" t="s">
        <v>23</v>
      </c>
      <c r="H74" s="37" t="s">
        <v>170</v>
      </c>
      <c r="I74" s="37" t="s">
        <v>25</v>
      </c>
      <c r="J74" s="37" t="s">
        <v>175</v>
      </c>
      <c r="K74" t="s">
        <v>27</v>
      </c>
    </row>
    <row r="75" spans="1:11" ht="15" customHeight="1" x14ac:dyDescent="0.15">
      <c r="A75" s="39">
        <v>63</v>
      </c>
      <c r="B75" s="40" t="s">
        <v>69</v>
      </c>
      <c r="C75" s="41" t="s">
        <v>176</v>
      </c>
      <c r="D75" s="42" t="s">
        <v>2</v>
      </c>
      <c r="E75" s="41" t="s">
        <v>21</v>
      </c>
      <c r="F75" s="39" t="s">
        <v>22</v>
      </c>
      <c r="G75" s="39" t="s">
        <v>23</v>
      </c>
      <c r="H75" s="41" t="s">
        <v>170</v>
      </c>
      <c r="I75" s="41" t="s">
        <v>31</v>
      </c>
      <c r="J75" s="41" t="s">
        <v>177</v>
      </c>
      <c r="K75" t="s">
        <v>27</v>
      </c>
    </row>
    <row r="76" spans="1:11" ht="15" customHeight="1" x14ac:dyDescent="0.15">
      <c r="A76" s="39">
        <v>64</v>
      </c>
      <c r="B76" s="40" t="s">
        <v>69</v>
      </c>
      <c r="C76" s="41" t="s">
        <v>178</v>
      </c>
      <c r="D76" s="42" t="s">
        <v>2</v>
      </c>
      <c r="E76" s="41" t="s">
        <v>43</v>
      </c>
      <c r="F76" s="39" t="s">
        <v>22</v>
      </c>
      <c r="G76" s="39" t="s">
        <v>23</v>
      </c>
      <c r="H76" s="41" t="s">
        <v>170</v>
      </c>
      <c r="I76" s="41" t="s">
        <v>25</v>
      </c>
      <c r="J76" s="41" t="s">
        <v>179</v>
      </c>
      <c r="K76" t="s">
        <v>27</v>
      </c>
    </row>
    <row r="77" spans="1:11" ht="15" customHeight="1" x14ac:dyDescent="0.15">
      <c r="A77" s="35">
        <v>65</v>
      </c>
      <c r="B77" s="36" t="s">
        <v>39</v>
      </c>
      <c r="C77" s="37" t="s">
        <v>180</v>
      </c>
      <c r="D77" s="38" t="s">
        <v>2</v>
      </c>
      <c r="E77" s="37" t="s">
        <v>21</v>
      </c>
      <c r="F77" s="35" t="s">
        <v>22</v>
      </c>
      <c r="G77" s="35" t="s">
        <v>23</v>
      </c>
      <c r="H77" s="37" t="s">
        <v>181</v>
      </c>
      <c r="I77" s="37" t="s">
        <v>25</v>
      </c>
      <c r="J77" s="37" t="s">
        <v>182</v>
      </c>
      <c r="K77" t="s">
        <v>27</v>
      </c>
    </row>
    <row r="78" spans="1:11" ht="15" customHeight="1" x14ac:dyDescent="0.15">
      <c r="A78" s="35">
        <v>66</v>
      </c>
      <c r="B78" s="36" t="s">
        <v>39</v>
      </c>
      <c r="C78" s="37" t="s">
        <v>183</v>
      </c>
      <c r="D78" s="38" t="s">
        <v>2</v>
      </c>
      <c r="E78" s="37" t="s">
        <v>21</v>
      </c>
      <c r="F78" s="35" t="s">
        <v>22</v>
      </c>
      <c r="G78" s="35" t="s">
        <v>23</v>
      </c>
      <c r="H78" s="37" t="s">
        <v>181</v>
      </c>
      <c r="I78" s="37" t="s">
        <v>76</v>
      </c>
      <c r="J78" s="37" t="s">
        <v>184</v>
      </c>
      <c r="K78" t="s">
        <v>27</v>
      </c>
    </row>
    <row r="79" spans="1:11" ht="15" customHeight="1" x14ac:dyDescent="0.15">
      <c r="A79" s="35">
        <v>67</v>
      </c>
      <c r="B79" s="36" t="s">
        <v>39</v>
      </c>
      <c r="C79" s="37" t="s">
        <v>185</v>
      </c>
      <c r="D79" s="38" t="s">
        <v>2</v>
      </c>
      <c r="E79" s="37" t="s">
        <v>21</v>
      </c>
      <c r="F79" s="35" t="s">
        <v>22</v>
      </c>
      <c r="G79" s="35" t="s">
        <v>23</v>
      </c>
      <c r="H79" s="37" t="s">
        <v>181</v>
      </c>
      <c r="I79" s="37" t="s">
        <v>139</v>
      </c>
      <c r="J79" s="37" t="s">
        <v>186</v>
      </c>
      <c r="K79" t="s">
        <v>27</v>
      </c>
    </row>
    <row r="80" spans="1:11" ht="15" customHeight="1" x14ac:dyDescent="0.15">
      <c r="A80" s="39">
        <v>68</v>
      </c>
      <c r="B80" s="40" t="s">
        <v>69</v>
      </c>
      <c r="C80" s="41" t="s">
        <v>187</v>
      </c>
      <c r="D80" s="42" t="s">
        <v>2</v>
      </c>
      <c r="E80" s="41" t="s">
        <v>21</v>
      </c>
      <c r="F80" s="39" t="s">
        <v>22</v>
      </c>
      <c r="G80" s="39" t="s">
        <v>23</v>
      </c>
      <c r="H80" s="41" t="s">
        <v>181</v>
      </c>
      <c r="I80" s="41" t="s">
        <v>25</v>
      </c>
      <c r="J80" s="41" t="s">
        <v>188</v>
      </c>
      <c r="K80" t="s">
        <v>27</v>
      </c>
    </row>
    <row r="81" spans="1:11" ht="15" customHeight="1" x14ac:dyDescent="0.15">
      <c r="A81" s="39">
        <v>69</v>
      </c>
      <c r="B81" s="40" t="s">
        <v>69</v>
      </c>
      <c r="C81" s="41" t="s">
        <v>189</v>
      </c>
      <c r="D81" s="42" t="s">
        <v>2</v>
      </c>
      <c r="E81" s="41" t="s">
        <v>21</v>
      </c>
      <c r="F81" s="39" t="s">
        <v>22</v>
      </c>
      <c r="G81" s="39" t="s">
        <v>23</v>
      </c>
      <c r="H81" s="41" t="s">
        <v>181</v>
      </c>
      <c r="I81" s="41" t="s">
        <v>76</v>
      </c>
      <c r="J81" s="41" t="s">
        <v>190</v>
      </c>
      <c r="K81" t="s">
        <v>27</v>
      </c>
    </row>
    <row r="82" spans="1:11" ht="15" customHeight="1" x14ac:dyDescent="0.15">
      <c r="A82" s="35">
        <v>70</v>
      </c>
      <c r="B82" s="36" t="s">
        <v>39</v>
      </c>
      <c r="C82" s="37" t="s">
        <v>191</v>
      </c>
      <c r="D82" s="38" t="s">
        <v>2</v>
      </c>
      <c r="E82" s="37" t="s">
        <v>21</v>
      </c>
      <c r="F82" s="35" t="s">
        <v>22</v>
      </c>
      <c r="G82" s="35" t="s">
        <v>23</v>
      </c>
      <c r="H82" s="37" t="s">
        <v>192</v>
      </c>
      <c r="I82" s="37" t="s">
        <v>76</v>
      </c>
      <c r="J82" s="37" t="s">
        <v>193</v>
      </c>
      <c r="K82" t="s">
        <v>27</v>
      </c>
    </row>
    <row r="83" spans="1:11" ht="15" customHeight="1" x14ac:dyDescent="0.15">
      <c r="A83" s="35">
        <v>71</v>
      </c>
      <c r="B83" s="36" t="s">
        <v>39</v>
      </c>
      <c r="C83" s="37" t="s">
        <v>194</v>
      </c>
      <c r="D83" s="38" t="s">
        <v>2</v>
      </c>
      <c r="E83" s="37" t="s">
        <v>21</v>
      </c>
      <c r="F83" s="35" t="s">
        <v>22</v>
      </c>
      <c r="G83" s="35" t="s">
        <v>23</v>
      </c>
      <c r="H83" s="37" t="s">
        <v>192</v>
      </c>
      <c r="I83" s="37" t="s">
        <v>139</v>
      </c>
      <c r="J83" s="37" t="s">
        <v>195</v>
      </c>
      <c r="K83" t="s">
        <v>27</v>
      </c>
    </row>
    <row r="84" spans="1:11" ht="15" customHeight="1" x14ac:dyDescent="0.15">
      <c r="A84" s="39">
        <v>72</v>
      </c>
      <c r="B84" s="40" t="s">
        <v>69</v>
      </c>
      <c r="C84" s="41" t="s">
        <v>196</v>
      </c>
      <c r="D84" s="42" t="s">
        <v>2</v>
      </c>
      <c r="E84" s="41" t="s">
        <v>21</v>
      </c>
      <c r="F84" s="39" t="s">
        <v>22</v>
      </c>
      <c r="G84" s="39" t="s">
        <v>23</v>
      </c>
      <c r="H84" s="41" t="s">
        <v>192</v>
      </c>
      <c r="I84" s="41" t="s">
        <v>76</v>
      </c>
      <c r="J84" s="41" t="s">
        <v>197</v>
      </c>
      <c r="K84" t="s">
        <v>27</v>
      </c>
    </row>
    <row r="85" spans="1:11" ht="15" customHeight="1" x14ac:dyDescent="0.15">
      <c r="A85" s="39">
        <v>73</v>
      </c>
      <c r="B85" s="40" t="s">
        <v>69</v>
      </c>
      <c r="C85" s="41" t="s">
        <v>198</v>
      </c>
      <c r="D85" s="42" t="s">
        <v>2</v>
      </c>
      <c r="E85" s="41" t="s">
        <v>21</v>
      </c>
      <c r="F85" s="39" t="s">
        <v>22</v>
      </c>
      <c r="G85" s="39" t="s">
        <v>23</v>
      </c>
      <c r="H85" s="41" t="s">
        <v>24</v>
      </c>
      <c r="I85" s="41" t="s">
        <v>25</v>
      </c>
      <c r="J85" s="41" t="s">
        <v>199</v>
      </c>
      <c r="K85" t="s">
        <v>27</v>
      </c>
    </row>
    <row r="86" spans="1:11" ht="15" customHeight="1" x14ac:dyDescent="0.15">
      <c r="A86" s="31">
        <v>74</v>
      </c>
      <c r="B86" s="32" t="s">
        <v>19</v>
      </c>
      <c r="C86" s="33" t="s">
        <v>200</v>
      </c>
      <c r="D86" s="34" t="s">
        <v>2</v>
      </c>
      <c r="E86" s="33" t="s">
        <v>120</v>
      </c>
      <c r="F86" s="31" t="s">
        <v>22</v>
      </c>
      <c r="G86" s="31" t="s">
        <v>147</v>
      </c>
      <c r="H86" s="33" t="s">
        <v>201</v>
      </c>
      <c r="I86" s="33" t="s">
        <v>121</v>
      </c>
      <c r="J86" s="33" t="s">
        <v>202</v>
      </c>
      <c r="K86" t="s">
        <v>27</v>
      </c>
    </row>
    <row r="87" spans="1:11" ht="15" customHeight="1" x14ac:dyDescent="0.15">
      <c r="A87" s="31">
        <v>75</v>
      </c>
      <c r="B87" s="32" t="s">
        <v>19</v>
      </c>
      <c r="C87" s="33" t="s">
        <v>203</v>
      </c>
      <c r="D87" s="34" t="s">
        <v>2</v>
      </c>
      <c r="E87" s="33" t="s">
        <v>120</v>
      </c>
      <c r="F87" s="31" t="s">
        <v>22</v>
      </c>
      <c r="G87" s="31" t="s">
        <v>147</v>
      </c>
      <c r="H87" s="33" t="s">
        <v>201</v>
      </c>
      <c r="I87" s="33" t="s">
        <v>121</v>
      </c>
      <c r="J87" s="33" t="s">
        <v>204</v>
      </c>
      <c r="K87" t="s">
        <v>27</v>
      </c>
    </row>
    <row r="88" spans="1:11" ht="15" customHeight="1" x14ac:dyDescent="0.15">
      <c r="A88" s="31">
        <v>76</v>
      </c>
      <c r="B88" s="32" t="s">
        <v>19</v>
      </c>
      <c r="C88" s="33" t="s">
        <v>205</v>
      </c>
      <c r="D88" s="34" t="s">
        <v>2</v>
      </c>
      <c r="E88" s="33" t="s">
        <v>120</v>
      </c>
      <c r="F88" s="31" t="s">
        <v>22</v>
      </c>
      <c r="G88" s="31" t="s">
        <v>147</v>
      </c>
      <c r="H88" s="33" t="s">
        <v>201</v>
      </c>
      <c r="I88" s="33" t="s">
        <v>121</v>
      </c>
      <c r="J88" s="33" t="s">
        <v>206</v>
      </c>
      <c r="K88" t="s">
        <v>27</v>
      </c>
    </row>
    <row r="89" spans="1:11" ht="15" customHeight="1" x14ac:dyDescent="0.15">
      <c r="A89" s="35">
        <v>77</v>
      </c>
      <c r="B89" s="36" t="s">
        <v>39</v>
      </c>
      <c r="C89" s="37" t="s">
        <v>207</v>
      </c>
      <c r="D89" s="38" t="s">
        <v>2</v>
      </c>
      <c r="E89" s="37" t="s">
        <v>208</v>
      </c>
      <c r="F89" s="35" t="s">
        <v>22</v>
      </c>
      <c r="G89" s="35" t="s">
        <v>147</v>
      </c>
      <c r="H89" s="37" t="s">
        <v>201</v>
      </c>
      <c r="I89" s="37" t="s">
        <v>91</v>
      </c>
      <c r="J89" s="37" t="s">
        <v>209</v>
      </c>
      <c r="K89" t="s">
        <v>27</v>
      </c>
    </row>
    <row r="90" spans="1:11" ht="15" customHeight="1" x14ac:dyDescent="0.15">
      <c r="A90" s="35">
        <v>78</v>
      </c>
      <c r="B90" s="36" t="s">
        <v>39</v>
      </c>
      <c r="C90" s="37" t="s">
        <v>210</v>
      </c>
      <c r="D90" s="38" t="s">
        <v>2</v>
      </c>
      <c r="E90" s="37" t="s">
        <v>43</v>
      </c>
      <c r="F90" s="35" t="s">
        <v>22</v>
      </c>
      <c r="G90" s="35" t="s">
        <v>23</v>
      </c>
      <c r="H90" s="37" t="s">
        <v>201</v>
      </c>
      <c r="I90" s="37" t="s">
        <v>25</v>
      </c>
      <c r="J90" s="37" t="s">
        <v>211</v>
      </c>
      <c r="K90" t="s">
        <v>27</v>
      </c>
    </row>
    <row r="91" spans="1:11" ht="15" customHeight="1" x14ac:dyDescent="0.15">
      <c r="A91" s="35">
        <v>79</v>
      </c>
      <c r="B91" s="36" t="s">
        <v>39</v>
      </c>
      <c r="C91" s="37" t="s">
        <v>212</v>
      </c>
      <c r="D91" s="38" t="s">
        <v>2</v>
      </c>
      <c r="E91" s="37" t="s">
        <v>120</v>
      </c>
      <c r="F91" s="35" t="s">
        <v>22</v>
      </c>
      <c r="G91" s="35" t="s">
        <v>147</v>
      </c>
      <c r="H91" s="37" t="s">
        <v>201</v>
      </c>
      <c r="I91" s="37" t="s">
        <v>91</v>
      </c>
      <c r="J91" s="37" t="s">
        <v>213</v>
      </c>
      <c r="K91" t="s">
        <v>27</v>
      </c>
    </row>
    <row r="92" spans="1:11" ht="15" customHeight="1" x14ac:dyDescent="0.15">
      <c r="A92" s="39">
        <v>80</v>
      </c>
      <c r="B92" s="40" t="s">
        <v>69</v>
      </c>
      <c r="C92" s="41" t="s">
        <v>214</v>
      </c>
      <c r="D92" s="42" t="s">
        <v>2</v>
      </c>
      <c r="E92" s="41" t="s">
        <v>215</v>
      </c>
      <c r="F92" s="39" t="s">
        <v>22</v>
      </c>
      <c r="G92" s="39" t="s">
        <v>23</v>
      </c>
      <c r="H92" s="41" t="s">
        <v>201</v>
      </c>
      <c r="I92" s="41" t="s">
        <v>216</v>
      </c>
      <c r="J92" s="41" t="s">
        <v>217</v>
      </c>
      <c r="K92" t="s">
        <v>27</v>
      </c>
    </row>
    <row r="93" spans="1:11" ht="15" customHeight="1" x14ac:dyDescent="0.15">
      <c r="A93" s="31">
        <v>81</v>
      </c>
      <c r="B93" s="32" t="s">
        <v>19</v>
      </c>
      <c r="C93" s="33" t="s">
        <v>218</v>
      </c>
      <c r="D93" s="34" t="s">
        <v>2</v>
      </c>
      <c r="E93" s="33" t="s">
        <v>75</v>
      </c>
      <c r="F93" s="31" t="s">
        <v>22</v>
      </c>
      <c r="G93" s="31" t="s">
        <v>23</v>
      </c>
      <c r="H93" s="33" t="s">
        <v>219</v>
      </c>
      <c r="I93" s="33" t="s">
        <v>76</v>
      </c>
      <c r="J93" s="33" t="s">
        <v>220</v>
      </c>
      <c r="K93" t="s">
        <v>27</v>
      </c>
    </row>
    <row r="94" spans="1:11" ht="15" customHeight="1" x14ac:dyDescent="0.15">
      <c r="A94" s="31">
        <v>82</v>
      </c>
      <c r="B94" s="32" t="s">
        <v>19</v>
      </c>
      <c r="C94" s="33" t="s">
        <v>221</v>
      </c>
      <c r="D94" s="34" t="s">
        <v>2</v>
      </c>
      <c r="E94" s="33" t="s">
        <v>75</v>
      </c>
      <c r="F94" s="31" t="s">
        <v>22</v>
      </c>
      <c r="G94" s="31" t="s">
        <v>23</v>
      </c>
      <c r="H94" s="33" t="s">
        <v>219</v>
      </c>
      <c r="I94" s="33" t="s">
        <v>76</v>
      </c>
      <c r="J94" s="33" t="s">
        <v>222</v>
      </c>
      <c r="K94" t="s">
        <v>27</v>
      </c>
    </row>
    <row r="95" spans="1:11" ht="15" customHeight="1" x14ac:dyDescent="0.15">
      <c r="A95" s="35">
        <v>83</v>
      </c>
      <c r="B95" s="36" t="s">
        <v>39</v>
      </c>
      <c r="C95" s="37" t="s">
        <v>223</v>
      </c>
      <c r="D95" s="38" t="s">
        <v>2</v>
      </c>
      <c r="E95" s="37" t="s">
        <v>89</v>
      </c>
      <c r="F95" s="35" t="s">
        <v>22</v>
      </c>
      <c r="G95" s="35" t="s">
        <v>23</v>
      </c>
      <c r="H95" s="37" t="s">
        <v>224</v>
      </c>
      <c r="I95" s="37" t="s">
        <v>99</v>
      </c>
      <c r="J95" s="37" t="s">
        <v>225</v>
      </c>
      <c r="K95" t="s">
        <v>27</v>
      </c>
    </row>
    <row r="96" spans="1:11" ht="15" customHeight="1" x14ac:dyDescent="0.15">
      <c r="A96" s="35">
        <v>84</v>
      </c>
      <c r="B96" s="36" t="s">
        <v>39</v>
      </c>
      <c r="C96" s="37" t="s">
        <v>226</v>
      </c>
      <c r="D96" s="38" t="s">
        <v>2</v>
      </c>
      <c r="E96" s="37" t="s">
        <v>89</v>
      </c>
      <c r="F96" s="35" t="s">
        <v>22</v>
      </c>
      <c r="G96" s="35" t="s">
        <v>147</v>
      </c>
      <c r="H96" s="37" t="s">
        <v>224</v>
      </c>
      <c r="I96" s="37" t="s">
        <v>91</v>
      </c>
      <c r="J96" s="37" t="s">
        <v>227</v>
      </c>
      <c r="K96" t="s">
        <v>27</v>
      </c>
    </row>
    <row r="97" spans="1:11" ht="15" customHeight="1" x14ac:dyDescent="0.15">
      <c r="A97" s="39">
        <v>85</v>
      </c>
      <c r="B97" s="40" t="s">
        <v>69</v>
      </c>
      <c r="C97" s="41" t="s">
        <v>228</v>
      </c>
      <c r="D97" s="42" t="s">
        <v>2</v>
      </c>
      <c r="E97" s="41" t="s">
        <v>43</v>
      </c>
      <c r="F97" s="39" t="s">
        <v>22</v>
      </c>
      <c r="G97" s="39" t="s">
        <v>23</v>
      </c>
      <c r="H97" s="41" t="s">
        <v>229</v>
      </c>
      <c r="I97" s="41" t="s">
        <v>25</v>
      </c>
      <c r="J97" s="41" t="s">
        <v>230</v>
      </c>
      <c r="K97" t="s">
        <v>27</v>
      </c>
    </row>
    <row r="98" spans="1:11" ht="15" customHeight="1" x14ac:dyDescent="0.15">
      <c r="A98" s="35">
        <v>86</v>
      </c>
      <c r="B98" s="36" t="s">
        <v>39</v>
      </c>
      <c r="C98" s="37" t="s">
        <v>231</v>
      </c>
      <c r="D98" s="38" t="s">
        <v>2</v>
      </c>
      <c r="E98" s="37" t="s">
        <v>120</v>
      </c>
      <c r="F98" s="35" t="s">
        <v>22</v>
      </c>
      <c r="G98" s="35" t="s">
        <v>147</v>
      </c>
      <c r="H98" s="37" t="s">
        <v>232</v>
      </c>
      <c r="I98" s="37" t="s">
        <v>121</v>
      </c>
      <c r="J98" s="37" t="s">
        <v>233</v>
      </c>
      <c r="K98" t="s">
        <v>27</v>
      </c>
    </row>
    <row r="99" spans="1:11" ht="15" customHeight="1" x14ac:dyDescent="0.15">
      <c r="A99" s="35">
        <v>87</v>
      </c>
      <c r="B99" s="36" t="s">
        <v>39</v>
      </c>
      <c r="C99" s="37" t="s">
        <v>234</v>
      </c>
      <c r="D99" s="38" t="s">
        <v>2</v>
      </c>
      <c r="E99" s="37" t="s">
        <v>89</v>
      </c>
      <c r="F99" s="35" t="s">
        <v>22</v>
      </c>
      <c r="G99" s="35" t="s">
        <v>147</v>
      </c>
      <c r="H99" s="37" t="s">
        <v>232</v>
      </c>
      <c r="I99" s="37" t="s">
        <v>91</v>
      </c>
      <c r="J99" s="37" t="s">
        <v>235</v>
      </c>
      <c r="K99" t="s">
        <v>27</v>
      </c>
    </row>
    <row r="100" spans="1:11" ht="15" customHeight="1" x14ac:dyDescent="0.15">
      <c r="A100" s="39">
        <v>88</v>
      </c>
      <c r="B100" s="40" t="s">
        <v>69</v>
      </c>
      <c r="C100" s="41" t="s">
        <v>236</v>
      </c>
      <c r="D100" s="42" t="s">
        <v>2</v>
      </c>
      <c r="E100" s="41" t="s">
        <v>21</v>
      </c>
      <c r="F100" s="39" t="s">
        <v>22</v>
      </c>
      <c r="G100" s="39" t="s">
        <v>23</v>
      </c>
      <c r="H100" s="41" t="s">
        <v>237</v>
      </c>
      <c r="I100" s="41" t="s">
        <v>25</v>
      </c>
      <c r="J100" s="41" t="s">
        <v>238</v>
      </c>
      <c r="K100" t="s">
        <v>27</v>
      </c>
    </row>
    <row r="101" spans="1:11" ht="15" customHeight="1" x14ac:dyDescent="0.15">
      <c r="A101" s="39">
        <v>89</v>
      </c>
      <c r="B101" s="40" t="s">
        <v>69</v>
      </c>
      <c r="C101" s="41" t="s">
        <v>239</v>
      </c>
      <c r="D101" s="42" t="s">
        <v>2</v>
      </c>
      <c r="E101" s="41" t="s">
        <v>21</v>
      </c>
      <c r="F101" s="39" t="s">
        <v>22</v>
      </c>
      <c r="G101" s="39" t="s">
        <v>23</v>
      </c>
      <c r="H101" s="41" t="s">
        <v>237</v>
      </c>
      <c r="I101" s="41" t="s">
        <v>25</v>
      </c>
      <c r="J101" s="41" t="s">
        <v>240</v>
      </c>
      <c r="K101" t="s">
        <v>27</v>
      </c>
    </row>
    <row r="102" spans="1:11" ht="15" customHeight="1" x14ac:dyDescent="0.15">
      <c r="A102" s="31">
        <v>90</v>
      </c>
      <c r="B102" s="32" t="s">
        <v>19</v>
      </c>
      <c r="C102" s="33" t="s">
        <v>241</v>
      </c>
      <c r="D102" s="34" t="s">
        <v>2</v>
      </c>
      <c r="E102" s="33" t="s">
        <v>120</v>
      </c>
      <c r="F102" s="31" t="s">
        <v>22</v>
      </c>
      <c r="G102" s="31" t="s">
        <v>23</v>
      </c>
      <c r="H102" s="33" t="s">
        <v>242</v>
      </c>
      <c r="I102" s="33" t="s">
        <v>121</v>
      </c>
      <c r="J102" s="33" t="s">
        <v>243</v>
      </c>
      <c r="K102" t="s">
        <v>27</v>
      </c>
    </row>
    <row r="103" spans="1:11" ht="15" customHeight="1" x14ac:dyDescent="0.15">
      <c r="A103" s="31">
        <v>91</v>
      </c>
      <c r="B103" s="32" t="s">
        <v>19</v>
      </c>
      <c r="C103" s="33" t="s">
        <v>244</v>
      </c>
      <c r="D103" s="34" t="s">
        <v>2</v>
      </c>
      <c r="E103" s="33" t="s">
        <v>75</v>
      </c>
      <c r="F103" s="31" t="s">
        <v>22</v>
      </c>
      <c r="G103" s="31" t="s">
        <v>23</v>
      </c>
      <c r="H103" s="33" t="s">
        <v>242</v>
      </c>
      <c r="I103" s="33" t="s">
        <v>31</v>
      </c>
      <c r="J103" s="33" t="s">
        <v>245</v>
      </c>
      <c r="K103" t="s">
        <v>27</v>
      </c>
    </row>
    <row r="104" spans="1:11" ht="15" customHeight="1" x14ac:dyDescent="0.15">
      <c r="A104" s="31">
        <v>92</v>
      </c>
      <c r="B104" s="32" t="s">
        <v>19</v>
      </c>
      <c r="C104" s="33" t="s">
        <v>246</v>
      </c>
      <c r="D104" s="34" t="s">
        <v>2</v>
      </c>
      <c r="E104" s="33" t="s">
        <v>75</v>
      </c>
      <c r="F104" s="31" t="s">
        <v>22</v>
      </c>
      <c r="G104" s="31" t="s">
        <v>23</v>
      </c>
      <c r="H104" s="33" t="s">
        <v>247</v>
      </c>
      <c r="I104" s="33" t="s">
        <v>76</v>
      </c>
      <c r="J104" s="33" t="s">
        <v>248</v>
      </c>
      <c r="K104" t="s">
        <v>27</v>
      </c>
    </row>
    <row r="105" spans="1:11" ht="15" customHeight="1" x14ac:dyDescent="0.15">
      <c r="A105" s="35">
        <v>93</v>
      </c>
      <c r="B105" s="36" t="s">
        <v>39</v>
      </c>
      <c r="C105" s="37" t="s">
        <v>249</v>
      </c>
      <c r="D105" s="38" t="s">
        <v>2</v>
      </c>
      <c r="E105" s="37" t="s">
        <v>43</v>
      </c>
      <c r="F105" s="35" t="s">
        <v>22</v>
      </c>
      <c r="G105" s="35" t="s">
        <v>23</v>
      </c>
      <c r="H105" s="37" t="s">
        <v>242</v>
      </c>
      <c r="I105" s="37" t="s">
        <v>25</v>
      </c>
      <c r="J105" s="37" t="s">
        <v>250</v>
      </c>
      <c r="K105" t="s">
        <v>27</v>
      </c>
    </row>
    <row r="106" spans="1:11" ht="15" customHeight="1" x14ac:dyDescent="0.15">
      <c r="A106" s="35">
        <v>94</v>
      </c>
      <c r="B106" s="36" t="s">
        <v>39</v>
      </c>
      <c r="C106" s="37" t="s">
        <v>251</v>
      </c>
      <c r="D106" s="38" t="s">
        <v>2</v>
      </c>
      <c r="E106" s="37" t="s">
        <v>43</v>
      </c>
      <c r="F106" s="35" t="s">
        <v>22</v>
      </c>
      <c r="G106" s="35" t="s">
        <v>23</v>
      </c>
      <c r="H106" s="37" t="s">
        <v>242</v>
      </c>
      <c r="I106" s="37" t="s">
        <v>91</v>
      </c>
      <c r="J106" s="37" t="s">
        <v>252</v>
      </c>
      <c r="K106" t="s">
        <v>27</v>
      </c>
    </row>
    <row r="107" spans="1:11" ht="15" customHeight="1" x14ac:dyDescent="0.15">
      <c r="A107" s="35">
        <v>95</v>
      </c>
      <c r="B107" s="36" t="s">
        <v>39</v>
      </c>
      <c r="C107" s="37" t="s">
        <v>253</v>
      </c>
      <c r="D107" s="38" t="s">
        <v>2</v>
      </c>
      <c r="E107" s="37" t="s">
        <v>43</v>
      </c>
      <c r="F107" s="35" t="s">
        <v>22</v>
      </c>
      <c r="G107" s="35" t="s">
        <v>23</v>
      </c>
      <c r="H107" s="37" t="s">
        <v>46</v>
      </c>
      <c r="I107" s="37" t="s">
        <v>25</v>
      </c>
      <c r="J107" s="37" t="s">
        <v>254</v>
      </c>
      <c r="K107" t="s">
        <v>27</v>
      </c>
    </row>
    <row r="108" spans="1:11" ht="15" customHeight="1" x14ac:dyDescent="0.15">
      <c r="A108" s="35">
        <v>96</v>
      </c>
      <c r="B108" s="36" t="s">
        <v>39</v>
      </c>
      <c r="C108" s="37" t="s">
        <v>255</v>
      </c>
      <c r="D108" s="38" t="s">
        <v>2</v>
      </c>
      <c r="E108" s="37" t="s">
        <v>215</v>
      </c>
      <c r="F108" s="35" t="s">
        <v>22</v>
      </c>
      <c r="G108" s="35" t="s">
        <v>23</v>
      </c>
      <c r="H108" s="43" t="s">
        <v>24</v>
      </c>
      <c r="I108" s="37" t="s">
        <v>216</v>
      </c>
      <c r="J108" s="44" t="s">
        <v>256</v>
      </c>
      <c r="K108" t="s">
        <v>27</v>
      </c>
    </row>
    <row r="109" spans="1:11" ht="15" customHeight="1" x14ac:dyDescent="0.15">
      <c r="A109" s="35">
        <v>97</v>
      </c>
      <c r="B109" s="36" t="s">
        <v>39</v>
      </c>
      <c r="C109" s="37" t="s">
        <v>257</v>
      </c>
      <c r="D109" s="38" t="s">
        <v>6</v>
      </c>
      <c r="E109" s="37" t="s">
        <v>208</v>
      </c>
      <c r="F109" s="35" t="s">
        <v>22</v>
      </c>
      <c r="G109" s="35" t="s">
        <v>147</v>
      </c>
      <c r="H109" s="43" t="s">
        <v>258</v>
      </c>
      <c r="I109" s="37" t="s">
        <v>216</v>
      </c>
      <c r="J109" s="44" t="s">
        <v>259</v>
      </c>
      <c r="K109" t="s">
        <v>6</v>
      </c>
    </row>
    <row r="110" spans="1:11" ht="15" customHeight="1" x14ac:dyDescent="0.15">
      <c r="A110" s="39">
        <v>98</v>
      </c>
      <c r="B110" s="40" t="s">
        <v>69</v>
      </c>
      <c r="C110" s="41" t="s">
        <v>260</v>
      </c>
      <c r="D110" s="42" t="s">
        <v>2</v>
      </c>
      <c r="E110" s="41" t="s">
        <v>215</v>
      </c>
      <c r="F110" s="39" t="s">
        <v>22</v>
      </c>
      <c r="G110" s="39" t="s">
        <v>23</v>
      </c>
      <c r="H110" s="45" t="s">
        <v>90</v>
      </c>
      <c r="I110" s="41" t="s">
        <v>216</v>
      </c>
      <c r="J110" s="46" t="s">
        <v>261</v>
      </c>
      <c r="K110" t="s">
        <v>27</v>
      </c>
    </row>
    <row r="111" spans="1:11" ht="15" customHeight="1" x14ac:dyDescent="0.15">
      <c r="A111" s="39">
        <v>99</v>
      </c>
      <c r="B111" s="40" t="s">
        <v>69</v>
      </c>
      <c r="C111" s="41" t="s">
        <v>262</v>
      </c>
      <c r="D111" s="42" t="s">
        <v>2</v>
      </c>
      <c r="E111" s="41" t="s">
        <v>208</v>
      </c>
      <c r="F111" s="39" t="s">
        <v>22</v>
      </c>
      <c r="G111" s="39" t="s">
        <v>147</v>
      </c>
      <c r="H111" s="45" t="s">
        <v>24</v>
      </c>
      <c r="I111" s="41" t="s">
        <v>91</v>
      </c>
      <c r="J111" s="46" t="s">
        <v>263</v>
      </c>
      <c r="K111" t="s">
        <v>27</v>
      </c>
    </row>
    <row r="112" spans="1:11" ht="15" customHeight="1" x14ac:dyDescent="0.15">
      <c r="A112" s="39">
        <v>100</v>
      </c>
      <c r="B112" s="40" t="s">
        <v>69</v>
      </c>
      <c r="C112" s="41" t="s">
        <v>264</v>
      </c>
      <c r="D112" s="42" t="s">
        <v>2</v>
      </c>
      <c r="E112" s="41" t="s">
        <v>89</v>
      </c>
      <c r="F112" s="39" t="s">
        <v>22</v>
      </c>
      <c r="G112" s="39" t="s">
        <v>147</v>
      </c>
      <c r="H112" s="45" t="s">
        <v>90</v>
      </c>
      <c r="I112" s="41" t="s">
        <v>216</v>
      </c>
      <c r="J112" s="46" t="s">
        <v>265</v>
      </c>
      <c r="K112" t="s">
        <v>27</v>
      </c>
    </row>
    <row r="113" spans="1:11" ht="34.5" customHeight="1" x14ac:dyDescent="0.15">
      <c r="A113" s="39">
        <v>101</v>
      </c>
      <c r="B113" s="40" t="s">
        <v>69</v>
      </c>
      <c r="C113" s="41" t="s">
        <v>266</v>
      </c>
      <c r="D113" s="42" t="s">
        <v>2</v>
      </c>
      <c r="E113" s="41" t="s">
        <v>89</v>
      </c>
      <c r="F113" s="39" t="s">
        <v>22</v>
      </c>
      <c r="G113" s="39" t="s">
        <v>147</v>
      </c>
      <c r="H113" s="41" t="s">
        <v>90</v>
      </c>
      <c r="I113" s="41" t="s">
        <v>216</v>
      </c>
      <c r="J113" s="41" t="s">
        <v>267</v>
      </c>
      <c r="K113" t="s">
        <v>27</v>
      </c>
    </row>
    <row r="118" spans="1:11" ht="10.5" customHeight="1" x14ac:dyDescent="0.15">
      <c r="E118" s="2"/>
      <c r="F118" s="2"/>
    </row>
  </sheetData>
  <autoFilter ref="A12:J112" xr:uid="{00000000-0009-0000-0000-000000000000}"/>
  <mergeCells count="1">
    <mergeCell ref="A1:J1"/>
  </mergeCells>
  <conditionalFormatting sqref="D13:D112">
    <cfRule type="cellIs" dxfId="5" priority="2" operator="equal">
      <formula>"F"</formula>
    </cfRule>
    <cfRule type="cellIs" dxfId="4" priority="3" operator="equal">
      <formula>"B"</formula>
    </cfRule>
    <cfRule type="cellIs" dxfId="3" priority="4" operator="equal">
      <formula>"P"</formula>
    </cfRule>
  </conditionalFormatting>
  <dataValidations count="5">
    <dataValidation type="list" showInputMessage="1" showErrorMessage="1" promptTitle="Valid values include:" prompt="U - Untested_x000a_P - Pass_x000a_F - Fail_x000a_B - Blocked_x000a_S - Skipped_x000a_n/a - Not applicable_x000a_" sqref="D13:D112" xr:uid="{00000000-0002-0000-0000-000000000000}">
      <formula1>"U,P,F,B,S,n/a"</formula1>
      <formula2>0</formula2>
    </dataValidation>
    <dataValidation type="list" allowBlank="1" showErrorMessage="1" sqref="B13:B112" xr:uid="{00000000-0002-0000-0000-000001000000}">
      <formula1>"P1,P2,P3,n/a"</formula1>
      <formula2>0</formula2>
    </dataValidation>
    <dataValidation allowBlank="1" showErrorMessage="1" promptTitle="Valid values include:" sqref="D12" xr:uid="{00000000-0002-0000-0000-000002000000}">
      <formula1>0</formula1>
      <formula2>0</formula2>
    </dataValidation>
    <dataValidation allowBlank="1" showErrorMessage="1" sqref="A12:C12" xr:uid="{00000000-0002-0000-0000-000003000000}">
      <formula1>0</formula1>
      <formula2>0</formula2>
    </dataValidation>
    <dataValidation type="list" showInputMessage="1" showErrorMessage="1" promptTitle="Tipos de prueba" prompt="F - Functional_x000a_S - Security_x000a_P - Performance_x000a_R - Regression_x000a_I  - Integrity_x000a_N - Network_x000a_U - Usability_x000a_n/a - not aplicable_x000a_" sqref="I13:I112" xr:uid="{00000000-0002-0000-0000-000004000000}">
      <formula1>"F,S,P,R,I,N,U,n/a"</formula1>
      <formula2>0</formula2>
    </dataValidation>
  </dataValidations>
  <pageMargins left="0.5" right="0.5" top="0.5" bottom="0.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30"/>
  <sheetViews>
    <sheetView zoomScaleNormal="100" workbookViewId="0">
      <selection activeCell="D13" sqref="D13"/>
    </sheetView>
  </sheetViews>
  <sheetFormatPr baseColWidth="10" defaultColWidth="9.1640625" defaultRowHeight="13" x14ac:dyDescent="0.15"/>
  <cols>
    <col min="1" max="1" width="21.83203125" style="1" customWidth="1"/>
    <col min="2" max="2" width="12.83203125" style="2" customWidth="1"/>
    <col min="3" max="3" width="62.83203125" style="3" customWidth="1"/>
    <col min="4" max="4" width="10.6640625" style="2" customWidth="1"/>
    <col min="5" max="5" width="13.6640625" style="1" customWidth="1"/>
    <col min="6" max="6" width="18.5" style="1" customWidth="1"/>
    <col min="7" max="7" width="14.5" style="1" customWidth="1"/>
    <col min="8" max="8" width="15.5" style="1" customWidth="1"/>
    <col min="9" max="9" width="17.6640625" style="1" customWidth="1"/>
    <col min="10" max="10" width="47.5" style="1" customWidth="1"/>
    <col min="11" max="257" width="9.1640625" style="1" customWidth="1"/>
  </cols>
  <sheetData>
    <row r="1" spans="1:11" ht="10.5" customHeight="1" x14ac:dyDescent="0.15">
      <c r="A1" s="77" t="str">
        <f ca="1">MID(CELL("filename",A7),FIND("]",CELL("filename"),1)+1,255)</f>
        <v>Deploy</v>
      </c>
      <c r="B1" s="73"/>
      <c r="C1" s="74"/>
      <c r="D1" s="73"/>
      <c r="E1" s="75"/>
      <c r="F1" s="75"/>
      <c r="G1" s="75"/>
      <c r="H1" s="75"/>
      <c r="I1" s="75"/>
      <c r="J1" s="75"/>
    </row>
    <row r="2" spans="1:11" ht="3.75" customHeight="1" x14ac:dyDescent="0.15">
      <c r="A2" s="5"/>
      <c r="B2" s="5"/>
      <c r="C2" s="6"/>
      <c r="D2" s="5"/>
      <c r="E2" s="5"/>
      <c r="F2" s="5"/>
      <c r="G2" s="5"/>
      <c r="H2" s="5"/>
      <c r="I2" s="5"/>
      <c r="J2" s="5"/>
    </row>
    <row r="3" spans="1:11" ht="10.5" customHeight="1" x14ac:dyDescent="0.15">
      <c r="A3" s="5"/>
      <c r="B3" s="5"/>
      <c r="C3" s="6"/>
      <c r="D3" s="8"/>
      <c r="E3" s="8" t="s">
        <v>268</v>
      </c>
      <c r="F3" s="9"/>
      <c r="G3" s="10"/>
      <c r="H3" s="10"/>
      <c r="I3" s="10"/>
      <c r="J3" s="12"/>
    </row>
    <row r="4" spans="1:11" ht="12" customHeight="1" x14ac:dyDescent="0.15">
      <c r="A4" s="5"/>
      <c r="B4" s="5"/>
      <c r="C4" s="6"/>
      <c r="D4" s="13" t="s">
        <v>1</v>
      </c>
      <c r="E4" s="13">
        <f>COUNTIF($D$11:$D$24,"U")</f>
        <v>0</v>
      </c>
      <c r="F4" s="14">
        <f>IF($E$9=0,"-",$E4/$E$9)</f>
        <v>0</v>
      </c>
      <c r="G4" s="15"/>
      <c r="H4" s="15"/>
      <c r="I4" s="15"/>
      <c r="J4" s="12"/>
    </row>
    <row r="5" spans="1:11" ht="12" customHeight="1" x14ac:dyDescent="0.15">
      <c r="A5" s="5"/>
      <c r="B5" s="5"/>
      <c r="C5" s="6"/>
      <c r="D5" s="13" t="s">
        <v>2</v>
      </c>
      <c r="E5" s="13">
        <f>COUNTIF($D$11:$D$24,"P")</f>
        <v>1</v>
      </c>
      <c r="F5" s="14">
        <f>IF($E$9=0,"-",$E5/$E$9)</f>
        <v>1</v>
      </c>
      <c r="G5" s="15"/>
      <c r="H5" s="15"/>
      <c r="I5" s="15"/>
      <c r="J5" s="12"/>
    </row>
    <row r="6" spans="1:11" ht="12" customHeight="1" x14ac:dyDescent="0.15">
      <c r="A6" s="5"/>
      <c r="B6" s="5"/>
      <c r="C6" s="6"/>
      <c r="D6" s="13" t="s">
        <v>3</v>
      </c>
      <c r="E6" s="13">
        <f>COUNTIF($D$11:$D$24,"F")</f>
        <v>0</v>
      </c>
      <c r="F6" s="14">
        <f>IF($E$9=0,"-",$E6/$E$9)</f>
        <v>0</v>
      </c>
      <c r="G6" s="15"/>
      <c r="H6" s="15"/>
      <c r="I6" s="15"/>
      <c r="J6" s="12"/>
    </row>
    <row r="7" spans="1:11" ht="10.5" customHeight="1" x14ac:dyDescent="0.15">
      <c r="A7" s="12"/>
      <c r="B7" s="17"/>
      <c r="C7" s="18"/>
      <c r="D7" s="13" t="s">
        <v>4</v>
      </c>
      <c r="E7" s="13">
        <f>COUNTIF($D$11:$D$24,"S")</f>
        <v>0</v>
      </c>
      <c r="F7" s="14">
        <f>IF($E$9=0,"-",$E7/$E$9)</f>
        <v>0</v>
      </c>
      <c r="G7" s="15"/>
      <c r="H7" s="15"/>
      <c r="I7" s="15"/>
      <c r="J7" s="12"/>
    </row>
    <row r="8" spans="1:11" ht="12" customHeight="1" x14ac:dyDescent="0.15">
      <c r="A8" s="12"/>
      <c r="B8" s="17"/>
      <c r="C8" s="18"/>
      <c r="D8" s="13" t="s">
        <v>5</v>
      </c>
      <c r="E8" s="13">
        <f>COUNTIF($D$11:$D$24,"B")</f>
        <v>0</v>
      </c>
      <c r="F8" s="19">
        <f>IF($E$9=0,"-",$E8/$E$9)</f>
        <v>0</v>
      </c>
      <c r="G8" s="15"/>
      <c r="H8" s="15"/>
      <c r="I8" s="15"/>
      <c r="J8" s="12"/>
    </row>
    <row r="9" spans="1:11" ht="63" customHeight="1" x14ac:dyDescent="0.15">
      <c r="A9" s="12"/>
      <c r="B9" s="17"/>
      <c r="C9" s="18"/>
      <c r="D9" s="22" t="s">
        <v>7</v>
      </c>
      <c r="E9" s="23">
        <f>SUM(E4:E8)</f>
        <v>1</v>
      </c>
      <c r="F9" s="24">
        <f>IF($E$9=0,"-",$E$9/$E$9)</f>
        <v>1</v>
      </c>
      <c r="G9" s="25"/>
      <c r="H9" s="26" t="s">
        <v>269</v>
      </c>
      <c r="I9" s="26"/>
      <c r="J9" s="27">
        <f>SUM(H:H)</f>
        <v>1</v>
      </c>
    </row>
    <row r="10" spans="1:11" ht="12.75" customHeight="1" x14ac:dyDescent="0.15">
      <c r="A10" s="12"/>
      <c r="B10" s="17"/>
      <c r="C10" s="18"/>
      <c r="D10" s="17"/>
      <c r="E10" s="12"/>
      <c r="F10" s="12"/>
      <c r="G10" s="12"/>
      <c r="H10" s="12"/>
      <c r="I10" s="12"/>
      <c r="J10" s="12"/>
    </row>
    <row r="11" spans="1:11" ht="12.75" customHeight="1" x14ac:dyDescent="0.15">
      <c r="A11" s="47" t="s">
        <v>270</v>
      </c>
      <c r="B11" s="47" t="s">
        <v>271</v>
      </c>
      <c r="C11" s="48" t="s">
        <v>272</v>
      </c>
      <c r="D11" s="47" t="s">
        <v>273</v>
      </c>
      <c r="E11" s="47" t="s">
        <v>274</v>
      </c>
      <c r="F11" s="47" t="s">
        <v>275</v>
      </c>
      <c r="G11" s="49" t="s">
        <v>276</v>
      </c>
      <c r="H11" s="50" t="s">
        <v>277</v>
      </c>
      <c r="I11" s="50" t="s">
        <v>278</v>
      </c>
      <c r="J11" s="50" t="s">
        <v>279</v>
      </c>
      <c r="K11" t="s">
        <v>18</v>
      </c>
    </row>
    <row r="12" spans="1:11" ht="12.75" customHeight="1" x14ac:dyDescent="0.15">
      <c r="A12" s="51"/>
      <c r="B12" s="52" t="s">
        <v>19</v>
      </c>
      <c r="C12" s="53"/>
      <c r="D12" s="52" t="s">
        <v>2</v>
      </c>
      <c r="E12" s="54"/>
      <c r="F12" s="54"/>
      <c r="G12" s="54"/>
      <c r="H12" s="54">
        <v>1</v>
      </c>
      <c r="I12" s="54"/>
      <c r="J12" s="55"/>
      <c r="K12" t="s">
        <v>27</v>
      </c>
    </row>
    <row r="13" spans="1:11" ht="10.5" customHeight="1" x14ac:dyDescent="0.15">
      <c r="A13" s="56"/>
      <c r="B13" s="57"/>
      <c r="C13" s="58"/>
      <c r="D13" s="59"/>
      <c r="E13" s="60"/>
      <c r="F13" s="60"/>
      <c r="G13" s="60"/>
      <c r="H13" s="60"/>
      <c r="I13" s="60"/>
      <c r="J13" s="61"/>
    </row>
    <row r="14" spans="1:11" ht="10.5" customHeight="1" x14ac:dyDescent="0.15">
      <c r="A14" s="56"/>
      <c r="B14" s="57"/>
      <c r="C14" s="58"/>
      <c r="D14" s="59"/>
      <c r="E14" s="60"/>
      <c r="F14" s="60"/>
      <c r="G14" s="60"/>
      <c r="H14" s="60"/>
      <c r="I14" s="60"/>
      <c r="J14" s="61"/>
    </row>
    <row r="15" spans="1:11" ht="10.5" customHeight="1" x14ac:dyDescent="0.15">
      <c r="A15" s="56"/>
      <c r="B15" s="57"/>
      <c r="C15" s="58"/>
      <c r="D15" s="59"/>
      <c r="E15" s="60"/>
      <c r="F15" s="60"/>
      <c r="G15" s="60"/>
      <c r="H15" s="60"/>
      <c r="I15" s="60"/>
      <c r="J15" s="61"/>
    </row>
    <row r="16" spans="1:11" ht="10.5" customHeight="1" x14ac:dyDescent="0.15">
      <c r="A16" s="56"/>
      <c r="B16" s="57"/>
      <c r="C16" s="58"/>
      <c r="D16" s="59"/>
      <c r="E16" s="60"/>
      <c r="F16" s="60"/>
      <c r="G16" s="60"/>
      <c r="H16" s="60"/>
      <c r="I16" s="60"/>
      <c r="J16" s="61"/>
    </row>
    <row r="17" spans="1:10" ht="10.5" customHeight="1" x14ac:dyDescent="0.15">
      <c r="A17" s="56"/>
      <c r="B17" s="57"/>
      <c r="C17" s="58"/>
      <c r="D17" s="59"/>
      <c r="E17" s="60"/>
      <c r="F17" s="60"/>
      <c r="G17" s="60"/>
      <c r="H17" s="60"/>
      <c r="I17" s="60"/>
      <c r="J17" s="61"/>
    </row>
    <row r="18" spans="1:10" ht="10.5" customHeight="1" x14ac:dyDescent="0.15">
      <c r="A18" s="56"/>
      <c r="B18" s="57"/>
      <c r="C18" s="58"/>
      <c r="D18" s="59"/>
      <c r="E18" s="60"/>
      <c r="F18" s="60"/>
      <c r="G18" s="60"/>
      <c r="H18" s="60"/>
      <c r="I18" s="60"/>
      <c r="J18" s="61"/>
    </row>
    <row r="19" spans="1:10" ht="10.5" customHeight="1" x14ac:dyDescent="0.15">
      <c r="A19" s="56"/>
      <c r="B19" s="57"/>
      <c r="C19" s="58"/>
      <c r="D19" s="59"/>
      <c r="E19" s="60"/>
      <c r="F19" s="60"/>
      <c r="G19" s="60"/>
      <c r="H19" s="60"/>
      <c r="I19" s="60"/>
      <c r="J19" s="61"/>
    </row>
    <row r="20" spans="1:10" ht="10.5" customHeight="1" x14ac:dyDescent="0.15">
      <c r="A20" s="56"/>
      <c r="B20" s="57"/>
      <c r="C20" s="58"/>
      <c r="D20" s="59"/>
      <c r="E20" s="60"/>
      <c r="F20" s="60"/>
      <c r="G20" s="60"/>
      <c r="H20" s="60"/>
      <c r="I20" s="60"/>
      <c r="J20" s="61"/>
    </row>
    <row r="21" spans="1:10" ht="10.5" customHeight="1" x14ac:dyDescent="0.15">
      <c r="A21" s="56"/>
      <c r="B21" s="57"/>
      <c r="C21" s="58"/>
      <c r="D21" s="59"/>
      <c r="E21" s="60"/>
      <c r="F21" s="60"/>
      <c r="G21" s="60"/>
      <c r="H21" s="60"/>
      <c r="I21" s="60"/>
      <c r="J21" s="61"/>
    </row>
    <row r="22" spans="1:10" ht="10.5" customHeight="1" x14ac:dyDescent="0.15">
      <c r="A22" s="56"/>
      <c r="B22" s="57"/>
      <c r="C22" s="58"/>
      <c r="D22" s="59"/>
      <c r="E22" s="60"/>
      <c r="F22" s="60"/>
      <c r="G22" s="60"/>
      <c r="H22" s="60"/>
      <c r="I22" s="60"/>
      <c r="J22" s="61"/>
    </row>
    <row r="23" spans="1:10" ht="10.5" customHeight="1" x14ac:dyDescent="0.15">
      <c r="A23" s="56"/>
      <c r="B23" s="57"/>
      <c r="C23" s="58"/>
      <c r="D23" s="59"/>
      <c r="E23" s="60"/>
      <c r="F23" s="60"/>
      <c r="G23" s="60"/>
      <c r="H23" s="60"/>
      <c r="I23" s="60"/>
      <c r="J23" s="61"/>
    </row>
    <row r="24" spans="1:10" ht="10.5" customHeight="1" x14ac:dyDescent="0.15">
      <c r="A24" s="56"/>
      <c r="B24" s="57"/>
      <c r="C24" s="58"/>
      <c r="D24" s="59"/>
      <c r="E24" s="60"/>
      <c r="F24" s="60"/>
      <c r="G24" s="60"/>
      <c r="H24" s="60"/>
      <c r="I24" s="60"/>
      <c r="J24" s="61"/>
    </row>
    <row r="30" spans="1:10" ht="10.5" customHeight="1" x14ac:dyDescent="0.15">
      <c r="E30" s="2"/>
      <c r="F30" s="2"/>
    </row>
  </sheetData>
  <autoFilter ref="A11:J24" xr:uid="{00000000-0009-0000-0000-000001000000}"/>
  <mergeCells count="1">
    <mergeCell ref="A1:J1"/>
  </mergeCells>
  <conditionalFormatting sqref="D12:D24">
    <cfRule type="cellIs" dxfId="2" priority="2" operator="equal">
      <formula>"F"</formula>
    </cfRule>
    <cfRule type="cellIs" dxfId="1" priority="3" operator="equal">
      <formula>"B"</formula>
    </cfRule>
    <cfRule type="cellIs" dxfId="0" priority="4" operator="equal">
      <formula>"P"</formula>
    </cfRule>
  </conditionalFormatting>
  <dataValidations count="4">
    <dataValidation allowBlank="1" showErrorMessage="1" promptTitle="Valid values include:" sqref="D11" xr:uid="{00000000-0002-0000-0100-000000000000}">
      <formula1>0</formula1>
      <formula2>0</formula2>
    </dataValidation>
    <dataValidation allowBlank="1" showErrorMessage="1" sqref="A11:C11" xr:uid="{00000000-0002-0000-0100-000001000000}">
      <formula1>0</formula1>
      <formula2>0</formula2>
    </dataValidation>
    <dataValidation type="list" allowBlank="1" showErrorMessage="1" sqref="B12" xr:uid="{00000000-0002-0000-0100-000002000000}">
      <formula1>"P1,P2,P3,n/a"</formula1>
      <formula2>0</formula2>
    </dataValidation>
    <dataValidation type="list" showInputMessage="1" showErrorMessage="1" promptTitle="Valid values include:" prompt="U - Untested_x000a_P - Pass_x000a_F - Fail_x000a_B - Blocked_x000a_S - Skipped_x000a_n/a - Not applicable_x000a_" sqref="D12:D24" xr:uid="{00000000-0002-0000-0100-000003000000}">
      <formula1>"U,P,F,B,S,n/a"</formula1>
      <formula2>0</formula2>
    </dataValidation>
  </dataValidations>
  <pageMargins left="0.5" right="0.5" top="0.5" bottom="0.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5"/>
  <sheetViews>
    <sheetView zoomScaleNormal="100" workbookViewId="0">
      <selection activeCell="C13" sqref="C13"/>
    </sheetView>
  </sheetViews>
  <sheetFormatPr baseColWidth="10" defaultColWidth="9.1640625" defaultRowHeight="18" x14ac:dyDescent="0.2"/>
  <cols>
    <col min="1" max="1" width="38.83203125" style="62" customWidth="1"/>
    <col min="2" max="2" width="24" style="63" customWidth="1"/>
    <col min="3" max="3" width="22.6640625" style="63" customWidth="1"/>
    <col min="4" max="4" width="29.5" style="64" customWidth="1"/>
    <col min="5" max="257" width="9.1640625" style="62" customWidth="1"/>
  </cols>
  <sheetData>
    <row r="1" spans="1:4" ht="18" customHeight="1" x14ac:dyDescent="0.2">
      <c r="A1" s="65" t="s">
        <v>280</v>
      </c>
      <c r="B1" s="66" t="s">
        <v>7</v>
      </c>
      <c r="C1" s="66" t="s">
        <v>281</v>
      </c>
      <c r="D1" s="67" t="s">
        <v>282</v>
      </c>
    </row>
    <row r="2" spans="1:4" ht="18" hidden="1" customHeight="1" x14ac:dyDescent="0.2">
      <c r="A2" s="68" t="s">
        <v>283</v>
      </c>
      <c r="B2" s="69">
        <f>Deploy!E9</f>
        <v>1</v>
      </c>
      <c r="C2" s="69">
        <f>Deploy!E5+Deploy!E6</f>
        <v>1</v>
      </c>
      <c r="D2" s="70">
        <f>(C2/B2)</f>
        <v>1</v>
      </c>
    </row>
    <row r="3" spans="1:4" ht="18" customHeight="1" x14ac:dyDescent="0.2">
      <c r="A3" s="68" t="s">
        <v>284</v>
      </c>
      <c r="B3" s="69">
        <f>'Iteración X'!E9</f>
        <v>101</v>
      </c>
      <c r="C3" s="69">
        <f>'Iteración X'!E4+'Iteración X'!E5</f>
        <v>100</v>
      </c>
      <c r="D3" s="70">
        <f>(C3/B3)</f>
        <v>0.99009900990099009</v>
      </c>
    </row>
    <row r="4" spans="1:4" ht="18" customHeight="1" x14ac:dyDescent="0.2">
      <c r="A4" s="68"/>
      <c r="B4" s="69"/>
      <c r="C4" s="69"/>
      <c r="D4" s="70"/>
    </row>
    <row r="5" spans="1:4" ht="18" customHeight="1" x14ac:dyDescent="0.2">
      <c r="A5" s="71"/>
      <c r="B5" s="66">
        <f>SUM(B2:B4)</f>
        <v>102</v>
      </c>
      <c r="C5" s="66">
        <f>SUM(C2:C4)</f>
        <v>101</v>
      </c>
      <c r="D5" s="67">
        <f>(C5/B5)</f>
        <v>0.99019607843137258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164</vt:i4>
      </vt:variant>
    </vt:vector>
  </HeadingPairs>
  <TitlesOfParts>
    <vt:vector size="167" baseType="lpstr">
      <vt:lpstr>Iteración X</vt:lpstr>
      <vt:lpstr>Deploy</vt:lpstr>
      <vt:lpstr>Totales</vt:lpstr>
      <vt:lpstr>Deploy!Z_01259147_914D_4061_9489_3657882F9BAB__wvu_FilterData</vt:lpstr>
      <vt:lpstr>'Iteración X'!Z_01259147_914D_4061_9489_3657882F9BAB__wvu_FilterData</vt:lpstr>
      <vt:lpstr>Deploy!Z_0209E02E_B33B_4D8D_AC6C_B840332A9263__wvu_FilterData</vt:lpstr>
      <vt:lpstr>'Iteración X'!Z_0209E02E_B33B_4D8D_AC6C_B840332A9263__wvu_FilterData</vt:lpstr>
      <vt:lpstr>Deploy!Z_030C80EA_4144_4CA7_81BE_80CE3D481852__wvu_FilterData</vt:lpstr>
      <vt:lpstr>'Iteración X'!Z_030C80EA_4144_4CA7_81BE_80CE3D481852__wvu_FilterData</vt:lpstr>
      <vt:lpstr>Deploy!Z_0558FF18_E84A_4C7F_8CEE_DB5E8F41AB4B__wvu_FilterData</vt:lpstr>
      <vt:lpstr>'Iteración X'!Z_0558FF18_E84A_4C7F_8CEE_DB5E8F41AB4B__wvu_FilterData</vt:lpstr>
      <vt:lpstr>Deploy!Z_08C55740_6583_41CC_B932_824666F9DF1B__wvu_FilterData</vt:lpstr>
      <vt:lpstr>'Iteración X'!Z_08C55740_6583_41CC_B932_824666F9DF1B__wvu_FilterData</vt:lpstr>
      <vt:lpstr>Deploy!Z_0CAD9D2B_C0CA_425C_AEED_6D7C29DAB346__wvu_FilterData</vt:lpstr>
      <vt:lpstr>'Iteración X'!Z_0CAD9D2B_C0CA_425C_AEED_6D7C29DAB346__wvu_FilterData</vt:lpstr>
      <vt:lpstr>Deploy!Z_0CAD9D2B_C0CA_425C_AEED_6D7C29DAB346__wvu_Rows</vt:lpstr>
      <vt:lpstr>'Iteración X'!Z_0CAD9D2B_C0CA_425C_AEED_6D7C29DAB346__wvu_Rows</vt:lpstr>
      <vt:lpstr>Deploy!Z_0FFAE333_1ED7_4719_8614_D0CE06D76096__wvu_FilterData</vt:lpstr>
      <vt:lpstr>'Iteración X'!Z_0FFAE333_1ED7_4719_8614_D0CE06D76096__wvu_FilterData</vt:lpstr>
      <vt:lpstr>Deploy!Z_10DE6165_EA17_4CED_842C_EACF14D57CAF__wvu_FilterData</vt:lpstr>
      <vt:lpstr>'Iteración X'!Z_10DE6165_EA17_4CED_842C_EACF14D57CAF__wvu_FilterData</vt:lpstr>
      <vt:lpstr>Deploy!Z_149A4EBF_BFB7_4034_A6DE_4507086DC656__wvu_FilterData</vt:lpstr>
      <vt:lpstr>'Iteración X'!Z_149A4EBF_BFB7_4034_A6DE_4507086DC656__wvu_FilterData</vt:lpstr>
      <vt:lpstr>Deploy!Z_1AE3EA90_9A30_4A81_A1E7_3353B88B3632__wvu_FilterData</vt:lpstr>
      <vt:lpstr>'Iteración X'!Z_1AE3EA90_9A30_4A81_A1E7_3353B88B3632__wvu_FilterData</vt:lpstr>
      <vt:lpstr>Deploy!Z_1B9993DE_A2D1_47FB_AB0F_08E6CF077849__wvu_FilterData</vt:lpstr>
      <vt:lpstr>'Iteración X'!Z_1B9993DE_A2D1_47FB_AB0F_08E6CF077849__wvu_FilterData</vt:lpstr>
      <vt:lpstr>Deploy!Z_1B9993DE_A2D1_47FB_AB0F_08E6CF077849__wvu_Rows</vt:lpstr>
      <vt:lpstr>'Iteración X'!Z_1B9993DE_A2D1_47FB_AB0F_08E6CF077849__wvu_Rows</vt:lpstr>
      <vt:lpstr>Deploy!Z_1CA35BEB_E311_4FEB_9A84_A642415D56D2__wvu_FilterData</vt:lpstr>
      <vt:lpstr>'Iteración X'!Z_1CA35BEB_E311_4FEB_9A84_A642415D56D2__wvu_FilterData</vt:lpstr>
      <vt:lpstr>Deploy!Z_225F686D_3A91_43C9_BF84_4DFE4E5AA879__wvu_FilterData</vt:lpstr>
      <vt:lpstr>'Iteración X'!Z_225F686D_3A91_43C9_BF84_4DFE4E5AA879__wvu_FilterData</vt:lpstr>
      <vt:lpstr>Deploy!Z_2490F42C_134E_48ED_A5D1_B001970D607A__wvu_FilterData</vt:lpstr>
      <vt:lpstr>'Iteración X'!Z_2490F42C_134E_48ED_A5D1_B001970D607A__wvu_FilterData</vt:lpstr>
      <vt:lpstr>Deploy!Z_25949223_6250_43F3_9666_4CDC5D6367D1__wvu_FilterData</vt:lpstr>
      <vt:lpstr>'Iteración X'!Z_25949223_6250_43F3_9666_4CDC5D6367D1__wvu_FilterData</vt:lpstr>
      <vt:lpstr>Deploy!Z_25949223_6250_43F3_9666_4CDC5D6367D1__wvu_Rows</vt:lpstr>
      <vt:lpstr>'Iteración X'!Z_25949223_6250_43F3_9666_4CDC5D6367D1__wvu_Rows</vt:lpstr>
      <vt:lpstr>Deploy!Z_265C440A_4ADB_419C_B661_1508A7ECE2DF__wvu_FilterData</vt:lpstr>
      <vt:lpstr>'Iteración X'!Z_265C440A_4ADB_419C_B661_1508A7ECE2DF__wvu_FilterData</vt:lpstr>
      <vt:lpstr>Deploy!Z_2CD6CE06_02CA_4647_BF86_B7A4F8A17AF4__wvu_FilterData</vt:lpstr>
      <vt:lpstr>'Iteración X'!Z_2CD6CE06_02CA_4647_BF86_B7A4F8A17AF4__wvu_FilterData</vt:lpstr>
      <vt:lpstr>Deploy!Z_2D977798_BA42_44D9_A24F_8B5FF9BC715E__wvu_FilterData</vt:lpstr>
      <vt:lpstr>'Iteración X'!Z_2D977798_BA42_44D9_A24F_8B5FF9BC715E__wvu_FilterData</vt:lpstr>
      <vt:lpstr>Deploy!Z_2D977798_BA42_44D9_A24F_8B5FF9BC715E__wvu_Rows</vt:lpstr>
      <vt:lpstr>'Iteración X'!Z_2D977798_BA42_44D9_A24F_8B5FF9BC715E__wvu_Rows</vt:lpstr>
      <vt:lpstr>Deploy!Z_31F3A0E1_846C_4771_B1CA_EB2473681E3A__wvu_FilterData</vt:lpstr>
      <vt:lpstr>'Iteración X'!Z_31F3A0E1_846C_4771_B1CA_EB2473681E3A__wvu_FilterData</vt:lpstr>
      <vt:lpstr>Deploy!Z_36565787_6D19_4B52_B4ED_060CBAB9B859__wvu_FilterData</vt:lpstr>
      <vt:lpstr>'Iteración X'!Z_36565787_6D19_4B52_B4ED_060CBAB9B859__wvu_FilterData</vt:lpstr>
      <vt:lpstr>Deploy!Z_37E2C5A3_69B7_481D_A46F_ECC0C4711B22__wvu_FilterData</vt:lpstr>
      <vt:lpstr>'Iteración X'!Z_37E2C5A3_69B7_481D_A46F_ECC0C4711B22__wvu_FilterData</vt:lpstr>
      <vt:lpstr>Deploy!Z_3BA41E17_9BC0_4BF9_B012_2C2075A709B6__wvu_FilterData</vt:lpstr>
      <vt:lpstr>'Iteración X'!Z_3BA41E17_9BC0_4BF9_B012_2C2075A709B6__wvu_FilterData</vt:lpstr>
      <vt:lpstr>Deploy!Z_3DFBC4DA_5C5B_4B0E_972F_B79E2F95803A__wvu_FilterData</vt:lpstr>
      <vt:lpstr>'Iteración X'!Z_3DFBC4DA_5C5B_4B0E_972F_B79E2F95803A__wvu_FilterData</vt:lpstr>
      <vt:lpstr>Deploy!Z_43463E5D_82EB_405F_ABBC_35817EC0FEA3__wvu_FilterData</vt:lpstr>
      <vt:lpstr>'Iteración X'!Z_43463E5D_82EB_405F_ABBC_35817EC0FEA3__wvu_FilterData</vt:lpstr>
      <vt:lpstr>Deploy!Z_45F73531_2F3C_4D84_A537_DF04A2B182C8__wvu_FilterData</vt:lpstr>
      <vt:lpstr>'Iteración X'!Z_45F73531_2F3C_4D84_A537_DF04A2B182C8__wvu_FilterData</vt:lpstr>
      <vt:lpstr>Deploy!Z_45F73531_2F3C_4D84_A537_DF04A2B182C8__wvu_Rows</vt:lpstr>
      <vt:lpstr>'Iteración X'!Z_45F73531_2F3C_4D84_A537_DF04A2B182C8__wvu_Rows</vt:lpstr>
      <vt:lpstr>Deploy!Z_47195EF9_63E3_40F1_BFC0_1FEEF948AFE8__wvu_FilterData</vt:lpstr>
      <vt:lpstr>'Iteración X'!Z_47195EF9_63E3_40F1_BFC0_1FEEF948AFE8__wvu_FilterData</vt:lpstr>
      <vt:lpstr>Deploy!Z_47A42E8F_7070_4031_BD03_17E980E8ADC4__wvu_FilterData</vt:lpstr>
      <vt:lpstr>'Iteración X'!Z_47A42E8F_7070_4031_BD03_17E980E8ADC4__wvu_FilterData</vt:lpstr>
      <vt:lpstr>Deploy!Z_47A42E8F_7070_4031_BD03_17E980E8ADC4__wvu_Rows</vt:lpstr>
      <vt:lpstr>'Iteración X'!Z_47A42E8F_7070_4031_BD03_17E980E8ADC4__wvu_Rows</vt:lpstr>
      <vt:lpstr>Deploy!Z_4AB7144F_FEDC_4483_BC89_EA3C9137E3C7__wvu_FilterData</vt:lpstr>
      <vt:lpstr>'Iteración X'!Z_4AB7144F_FEDC_4483_BC89_EA3C9137E3C7__wvu_FilterData</vt:lpstr>
      <vt:lpstr>Deploy!Z_51AF2561_F8FA_4315_85F4_07BFE97912D7__wvu_FilterData</vt:lpstr>
      <vt:lpstr>'Iteración X'!Z_51AF2561_F8FA_4315_85F4_07BFE97912D7__wvu_FilterData</vt:lpstr>
      <vt:lpstr>Deploy!Z_521105C0_4642_4FF9_8599_E4B18DBABDB1__wvu_FilterData</vt:lpstr>
      <vt:lpstr>'Iteración X'!Z_521105C0_4642_4FF9_8599_E4B18DBABDB1__wvu_FilterData</vt:lpstr>
      <vt:lpstr>Deploy!Z_521105C0_4642_4FF9_8599_E4B18DBABDB1__wvu_Rows</vt:lpstr>
      <vt:lpstr>'Iteración X'!Z_521105C0_4642_4FF9_8599_E4B18DBABDB1__wvu_Rows</vt:lpstr>
      <vt:lpstr>Deploy!Z_555C3F28_B845_46AE_A451_BD18C969E56D__wvu_FilterData</vt:lpstr>
      <vt:lpstr>'Iteración X'!Z_555C3F28_B845_46AE_A451_BD18C969E56D__wvu_FilterData</vt:lpstr>
      <vt:lpstr>Deploy!Z_5B3E5B18_6B8A_49AA_8C80_69765FE39099__wvu_FilterData</vt:lpstr>
      <vt:lpstr>'Iteración X'!Z_5B3E5B18_6B8A_49AA_8C80_69765FE39099__wvu_FilterData</vt:lpstr>
      <vt:lpstr>Deploy!Z_5FF000AC_F9F3_4296_A949_E146DFA11BD8__wvu_FilterData</vt:lpstr>
      <vt:lpstr>'Iteración X'!Z_5FF000AC_F9F3_4296_A949_E146DFA11BD8__wvu_FilterData</vt:lpstr>
      <vt:lpstr>Deploy!Z_610D55AE_ADCD_4C93_A668_B6B1E684BFFF__wvu_FilterData</vt:lpstr>
      <vt:lpstr>'Iteración X'!Z_610D55AE_ADCD_4C93_A668_B6B1E684BFFF__wvu_FilterData</vt:lpstr>
      <vt:lpstr>Deploy!Z_631D7142_6864_4C8F_8B3D_851788E3421D__wvu_FilterData</vt:lpstr>
      <vt:lpstr>'Iteración X'!Z_631D7142_6864_4C8F_8B3D_851788E3421D__wvu_FilterData</vt:lpstr>
      <vt:lpstr>Deploy!Z_6B81B01B_93FB_4C70_8FB8_27AE0C31762A__wvu_FilterData</vt:lpstr>
      <vt:lpstr>'Iteración X'!Z_6B81B01B_93FB_4C70_8FB8_27AE0C31762A__wvu_FilterData</vt:lpstr>
      <vt:lpstr>Deploy!Z_6B947F65_665F_4C43_A9CE_26AC6F95A762__wvu_FilterData</vt:lpstr>
      <vt:lpstr>'Iteración X'!Z_6B947F65_665F_4C43_A9CE_26AC6F95A762__wvu_FilterData</vt:lpstr>
      <vt:lpstr>Deploy!Z_72E9B9C9_F1DD_45F6_AA4F_9D3B5DC5B340__wvu_FilterData</vt:lpstr>
      <vt:lpstr>'Iteración X'!Z_72E9B9C9_F1DD_45F6_AA4F_9D3B5DC5B340__wvu_FilterData</vt:lpstr>
      <vt:lpstr>Deploy!Z_75F9E4C2_FB83_4019_A3B4_3EF11C2EBD8B__wvu_FilterData</vt:lpstr>
      <vt:lpstr>'Iteración X'!Z_75F9E4C2_FB83_4019_A3B4_3EF11C2EBD8B__wvu_FilterData</vt:lpstr>
      <vt:lpstr>Deploy!Z_7945D647_88BC_41EF_A163_7D5C41B96E58__wvu_FilterData</vt:lpstr>
      <vt:lpstr>'Iteración X'!Z_7945D647_88BC_41EF_A163_7D5C41B96E58__wvu_FilterData</vt:lpstr>
      <vt:lpstr>Deploy!Z_7F1E60BE_6021_44E6_9F25_8EEF3A4B9668__wvu_FilterData</vt:lpstr>
      <vt:lpstr>'Iteración X'!Z_7F1E60BE_6021_44E6_9F25_8EEF3A4B9668__wvu_FilterData</vt:lpstr>
      <vt:lpstr>Deploy!Z_86C284F2_9F4D_4F07_B667_EBCE82FA8984__wvu_FilterData</vt:lpstr>
      <vt:lpstr>'Iteración X'!Z_86C284F2_9F4D_4F07_B667_EBCE82FA8984__wvu_FilterData</vt:lpstr>
      <vt:lpstr>Deploy!Z_8887BA6F_3E7E_4C15_BD03_A01C3B089C17__wvu_FilterData</vt:lpstr>
      <vt:lpstr>'Iteración X'!Z_8887BA6F_3E7E_4C15_BD03_A01C3B089C17__wvu_FilterData</vt:lpstr>
      <vt:lpstr>Deploy!Z_8DF22A4D_1F9E_4297_B8F9_D1CC19FDD8F6__wvu_FilterData</vt:lpstr>
      <vt:lpstr>'Iteración X'!Z_8DF22A4D_1F9E_4297_B8F9_D1CC19FDD8F6__wvu_FilterData</vt:lpstr>
      <vt:lpstr>Deploy!Z_95AA1249_7376_4FE9_8337_A4184C92DE9B__wvu_FilterData</vt:lpstr>
      <vt:lpstr>'Iteración X'!Z_95AA1249_7376_4FE9_8337_A4184C92DE9B__wvu_FilterData</vt:lpstr>
      <vt:lpstr>Deploy!Z_97BE10F2_65CA_46DE_BA12_3CC0EF4CA267__wvu_FilterData</vt:lpstr>
      <vt:lpstr>'Iteración X'!Z_97BE10F2_65CA_46DE_BA12_3CC0EF4CA267__wvu_FilterData</vt:lpstr>
      <vt:lpstr>Deploy!Z_97BE10F2_65CA_46DE_BA12_3CC0EF4CA267__wvu_Rows</vt:lpstr>
      <vt:lpstr>'Iteración X'!Z_97BE10F2_65CA_46DE_BA12_3CC0EF4CA267__wvu_Rows</vt:lpstr>
      <vt:lpstr>Deploy!Z_9E3AA867_96EC_4B2E_8CD1_04422163CA42__wvu_FilterData</vt:lpstr>
      <vt:lpstr>'Iteración X'!Z_9E3AA867_96EC_4B2E_8CD1_04422163CA42__wvu_FilterData</vt:lpstr>
      <vt:lpstr>Deploy!Z_9EAB3547_8A5C_4E09_922B_B4051F36C0FF__wvu_FilterData</vt:lpstr>
      <vt:lpstr>'Iteración X'!Z_9EAB3547_8A5C_4E09_922B_B4051F36C0FF__wvu_FilterData</vt:lpstr>
      <vt:lpstr>Deploy!Z_9EBF1676_2463_4738_B615_6EC4D507142A__wvu_FilterData</vt:lpstr>
      <vt:lpstr>'Iteración X'!Z_9EBF1676_2463_4738_B615_6EC4D507142A__wvu_FilterData</vt:lpstr>
      <vt:lpstr>Deploy!Z_9F8D6B77_7A94_4286_9E13_6B31E0BA980B__wvu_FilterData</vt:lpstr>
      <vt:lpstr>'Iteración X'!Z_9F8D6B77_7A94_4286_9E13_6B31E0BA980B__wvu_FilterData</vt:lpstr>
      <vt:lpstr>Deploy!Z_A13CD051_7755_4FBF_A84B_7951D4709A8E__wvu_FilterData</vt:lpstr>
      <vt:lpstr>'Iteración X'!Z_A13CD051_7755_4FBF_A84B_7951D4709A8E__wvu_FilterData</vt:lpstr>
      <vt:lpstr>Deploy!Z_A2757BE6_7C27_48D6_9965_FE79ED6CF914__wvu_FilterData</vt:lpstr>
      <vt:lpstr>'Iteración X'!Z_A2757BE6_7C27_48D6_9965_FE79ED6CF914__wvu_FilterData</vt:lpstr>
      <vt:lpstr>Deploy!Z_A2757BE6_7C27_48D6_9965_FE79ED6CF914__wvu_Rows</vt:lpstr>
      <vt:lpstr>'Iteración X'!Z_A2757BE6_7C27_48D6_9965_FE79ED6CF914__wvu_Rows</vt:lpstr>
      <vt:lpstr>Deploy!Z_A7D629DB_3E4B_46B7_8E36_5BA11B4E9D9D__wvu_FilterData</vt:lpstr>
      <vt:lpstr>'Iteración X'!Z_A7D629DB_3E4B_46B7_8E36_5BA11B4E9D9D__wvu_FilterData</vt:lpstr>
      <vt:lpstr>Deploy!Z_A9FE217F_6713_44C1_A910_DA4BD5F6CC03__wvu_FilterData</vt:lpstr>
      <vt:lpstr>'Iteración X'!Z_A9FE217F_6713_44C1_A910_DA4BD5F6CC03__wvu_FilterData</vt:lpstr>
      <vt:lpstr>Deploy!Z_AE6EE79F_880B_4627_A3CA_5D08C1296D57__wvu_FilterData</vt:lpstr>
      <vt:lpstr>'Iteración X'!Z_AE6EE79F_880B_4627_A3CA_5D08C1296D57__wvu_FilterData</vt:lpstr>
      <vt:lpstr>Deploy!Z_B2AAD47A_00AF_4869_8A21_1352D212F595__wvu_FilterData</vt:lpstr>
      <vt:lpstr>'Iteración X'!Z_B2AAD47A_00AF_4869_8A21_1352D212F595__wvu_FilterData</vt:lpstr>
      <vt:lpstr>Deploy!Z_B4026E83_5D39_462B_9222_E5F820284D56__wvu_FilterData</vt:lpstr>
      <vt:lpstr>'Iteración X'!Z_B4026E83_5D39_462B_9222_E5F820284D56__wvu_FilterData</vt:lpstr>
      <vt:lpstr>Deploy!Z_B455107F_044D_4FAC_B244_25F4B309C6EE__wvu_FilterData</vt:lpstr>
      <vt:lpstr>'Iteración X'!Z_B455107F_044D_4FAC_B244_25F4B309C6EE__wvu_FilterData</vt:lpstr>
      <vt:lpstr>Deploy!Z_B8B7F5D4_803A_4CB0_AEA7_71492145237C__wvu_FilterData</vt:lpstr>
      <vt:lpstr>'Iteración X'!Z_B8B7F5D4_803A_4CB0_AEA7_71492145237C__wvu_FilterData</vt:lpstr>
      <vt:lpstr>Deploy!Z_B92DCF37_2E91_470B_95F4_217CAD369642__wvu_FilterData</vt:lpstr>
      <vt:lpstr>'Iteración X'!Z_B92DCF37_2E91_470B_95F4_217CAD369642__wvu_FilterData</vt:lpstr>
      <vt:lpstr>Deploy!Z_BAE38BAE_F109_458E_A2B5_71F4D1CD5BB3__wvu_FilterData</vt:lpstr>
      <vt:lpstr>'Iteración X'!Z_BAE38BAE_F109_458E_A2B5_71F4D1CD5BB3__wvu_FilterData</vt:lpstr>
      <vt:lpstr>Deploy!Z_C414071F_AB8A_453E_8A22_D64FD53DD72D__wvu_FilterData</vt:lpstr>
      <vt:lpstr>'Iteración X'!Z_C414071F_AB8A_453E_8A22_D64FD53DD72D__wvu_FilterData</vt:lpstr>
      <vt:lpstr>Deploy!Z_C53F921B_C614_4C5B_96D2_6C0FA8EB37C1__wvu_FilterData</vt:lpstr>
      <vt:lpstr>'Iteración X'!Z_C53F921B_C614_4C5B_96D2_6C0FA8EB37C1__wvu_FilterData</vt:lpstr>
      <vt:lpstr>Deploy!Z_C9603F70_45E4_4CAE_8A7D_679FAFE11A70__wvu_FilterData</vt:lpstr>
      <vt:lpstr>'Iteración X'!Z_C9603F70_45E4_4CAE_8A7D_679FAFE11A70__wvu_FilterData</vt:lpstr>
      <vt:lpstr>Deploy!Z_CCF060F9_D59C_4E89_82B0_742FDD1B1BDE__wvu_FilterData</vt:lpstr>
      <vt:lpstr>'Iteración X'!Z_CCF060F9_D59C_4E89_82B0_742FDD1B1BDE__wvu_FilterData</vt:lpstr>
      <vt:lpstr>Deploy!Z_D5B4B5C3_FDAD_43A9_B55E_79B80C460B5A__wvu_FilterData</vt:lpstr>
      <vt:lpstr>'Iteración X'!Z_D5B4B5C3_FDAD_43A9_B55E_79B80C460B5A__wvu_FilterData</vt:lpstr>
      <vt:lpstr>Deploy!Z_DBDC959D_F5A7_4195_B9F6_3307B3FB55A8__wvu_FilterData</vt:lpstr>
      <vt:lpstr>'Iteración X'!Z_DBDC959D_F5A7_4195_B9F6_3307B3FB55A8__wvu_FilterData</vt:lpstr>
      <vt:lpstr>Deploy!Z_E260B85E_BFB6_4CFA_85E6_C1D933463B99__wvu_FilterData</vt:lpstr>
      <vt:lpstr>'Iteración X'!Z_E260B85E_BFB6_4CFA_85E6_C1D933463B99__wvu_FilterData</vt:lpstr>
      <vt:lpstr>Deploy!Z_ECDFFCD9_D2F6_4CDC_AE8F_DF382E63A143__wvu_FilterData</vt:lpstr>
      <vt:lpstr>'Iteración X'!Z_ECDFFCD9_D2F6_4CDC_AE8F_DF382E63A143__wvu_FilterData</vt:lpstr>
      <vt:lpstr>Deploy!Z_EEB65FC4_0FAA_498B_9370_AA2D3E462002__wvu_FilterData</vt:lpstr>
      <vt:lpstr>'Iteración X'!Z_EEB65FC4_0FAA_498B_9370_AA2D3E462002__wvu_FilterData</vt:lpstr>
      <vt:lpstr>Deploy!Z_F235A223_F31B_4646_B307_F2C2B9AE7781__wvu_FilterData</vt:lpstr>
      <vt:lpstr>'Iteración X'!Z_F235A223_F31B_4646_B307_F2C2B9AE7781__wvu_FilterData</vt:lpstr>
      <vt:lpstr>Deploy!Z_F3DC8E9C_CE47_46E9_A0DE_A4CA1F847CC3__wvu_FilterData</vt:lpstr>
      <vt:lpstr>'Iteración X'!Z_F3DC8E9C_CE47_46E9_A0DE_A4CA1F847CC3__wvu_FilterData</vt:lpstr>
      <vt:lpstr>Deploy!Z_FDFEE391_B33C_4C3E_A184_18458B08356A__wvu_FilterData</vt:lpstr>
      <vt:lpstr>'Iteración X'!Z_FDFEE391_B33C_4C3E_A184_18458B08356A__wvu_FilterData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mimelend</dc:creator>
  <cp:lastModifiedBy>José Pablo López Rodríguez</cp:lastModifiedBy>
  <cp:revision>2</cp:revision>
  <dcterms:created xsi:type="dcterms:W3CDTF">2013-02-25T16:35:46Z</dcterms:created>
  <dcterms:modified xsi:type="dcterms:W3CDTF">2026-06-10T03:58:23Z</dcterms:modified>
  <dc:language>en-US</dc:language>
</cp:coreProperties>
</file>